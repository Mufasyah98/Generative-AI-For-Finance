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7F8990C1-7070-4DC3-96D0-AA79D5ADA0A5}" xr6:coauthVersionLast="47" xr6:coauthVersionMax="47" xr10:uidLastSave="{00000000-0000-0000-0000-000000000000}"/>
  <bookViews>
    <workbookView xWindow="-108" yWindow="-108" windowWidth="23256" windowHeight="12456" tabRatio="500" firstSheet="7" activeTab="8" xr2:uid="{00000000-000D-0000-FFFF-FFFF00000000}"/>
  </bookViews>
  <sheets>
    <sheet name="📋 Instructions" sheetId="1" r:id="rId1"/>
    <sheet name="🏦 CS1 — Fraud Detection" sheetId="2" r:id="rId2"/>
    <sheet name="📈 CS2 — Trading AI" sheetId="3" r:id="rId3"/>
    <sheet name="🪪 CS3 — KYC Dashboard" sheetId="4" r:id="rId4"/>
    <sheet name="⚖️ CS4 — Compliance Tracker" sheetId="5" r:id="rId5"/>
    <sheet name="💰 CS5 — Robo-Advisor" sheetId="6" r:id="rId6"/>
    <sheet name="🤖 CS6 — Prompt Engineering" sheetId="7" r:id="rId7"/>
    <sheet name="📊 CS7 — AI ROI Calculator" sheetId="8" r:id="rId8"/>
    <sheet name="📝 Assessmen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2" i="8" l="1"/>
  <c r="F42" i="8"/>
  <c r="E42" i="8"/>
  <c r="D42" i="8"/>
  <c r="C42" i="8"/>
  <c r="G41" i="8"/>
  <c r="F41" i="8"/>
  <c r="E41" i="8"/>
  <c r="D41" i="8"/>
  <c r="C41" i="8"/>
  <c r="G40" i="8"/>
  <c r="F40" i="8"/>
  <c r="E40" i="8"/>
  <c r="D40" i="8"/>
  <c r="C40" i="8"/>
  <c r="G39" i="8"/>
  <c r="F39" i="8"/>
  <c r="E39" i="8"/>
  <c r="D39" i="8"/>
  <c r="C39" i="8"/>
  <c r="G38" i="8"/>
  <c r="G43" i="8" s="1"/>
  <c r="F38" i="8"/>
  <c r="F43" i="8" s="1"/>
  <c r="E38" i="8"/>
  <c r="E43" i="8" s="1"/>
  <c r="D38" i="8"/>
  <c r="D43" i="8" s="1"/>
  <c r="D44" i="8" s="1"/>
  <c r="D46" i="8" s="1"/>
  <c r="C38" i="8"/>
  <c r="C43" i="8" s="1"/>
  <c r="G35" i="8"/>
  <c r="F35" i="8"/>
  <c r="E35" i="8"/>
  <c r="D35" i="8"/>
  <c r="C35" i="8"/>
  <c r="G34" i="8"/>
  <c r="F34" i="8"/>
  <c r="E34" i="8"/>
  <c r="D34" i="8"/>
  <c r="C34" i="8"/>
  <c r="G33" i="8"/>
  <c r="F33" i="8"/>
  <c r="E33" i="8"/>
  <c r="D33" i="8"/>
  <c r="C33" i="8"/>
  <c r="G32" i="8"/>
  <c r="F32" i="8"/>
  <c r="E32" i="8"/>
  <c r="D32" i="8"/>
  <c r="C32" i="8"/>
  <c r="G31" i="8"/>
  <c r="G36" i="8" s="1"/>
  <c r="F31" i="8"/>
  <c r="F36" i="8" s="1"/>
  <c r="E31" i="8"/>
  <c r="E36" i="8" s="1"/>
  <c r="D31" i="8"/>
  <c r="D36" i="8" s="1"/>
  <c r="C31" i="8"/>
  <c r="C36" i="8" s="1"/>
  <c r="C33" i="6"/>
  <c r="D22" i="6"/>
  <c r="C22" i="6"/>
  <c r="D21" i="6"/>
  <c r="C21" i="6"/>
  <c r="D20" i="6"/>
  <c r="C20" i="6"/>
  <c r="D19" i="6"/>
  <c r="C19" i="6"/>
  <c r="D18" i="6"/>
  <c r="C18" i="6"/>
  <c r="E31" i="5"/>
  <c r="D31" i="5"/>
  <c r="E30" i="5"/>
  <c r="D30" i="5"/>
  <c r="C30" i="5"/>
  <c r="E29" i="5"/>
  <c r="D29" i="5"/>
  <c r="C29" i="5"/>
  <c r="E28" i="5"/>
  <c r="D28" i="5"/>
  <c r="C28" i="5"/>
  <c r="E27" i="5"/>
  <c r="D27" i="5"/>
  <c r="C27" i="5"/>
  <c r="C31" i="5" s="1"/>
  <c r="G23" i="5"/>
  <c r="G22" i="5"/>
  <c r="G21" i="5"/>
  <c r="G20" i="5"/>
  <c r="G19" i="5"/>
  <c r="G18" i="5"/>
  <c r="G17" i="5"/>
  <c r="G16" i="5"/>
  <c r="G15" i="5"/>
  <c r="G14" i="5"/>
  <c r="G13" i="5"/>
  <c r="G12" i="5"/>
  <c r="D36" i="4"/>
  <c r="C36" i="4"/>
  <c r="H35" i="4"/>
  <c r="G35" i="4"/>
  <c r="E35" i="4"/>
  <c r="F35" i="4" s="1"/>
  <c r="H34" i="4"/>
  <c r="G34" i="4"/>
  <c r="E34" i="4"/>
  <c r="F34" i="4" s="1"/>
  <c r="H33" i="4"/>
  <c r="G33" i="4"/>
  <c r="E33" i="4"/>
  <c r="F33" i="4" s="1"/>
  <c r="H32" i="4"/>
  <c r="G32" i="4"/>
  <c r="E32" i="4"/>
  <c r="F32" i="4" s="1"/>
  <c r="H31" i="4"/>
  <c r="G31" i="4"/>
  <c r="E31" i="4"/>
  <c r="F31" i="4" s="1"/>
  <c r="H30" i="4"/>
  <c r="G30" i="4"/>
  <c r="E30" i="4"/>
  <c r="F30" i="4" s="1"/>
  <c r="H29" i="4"/>
  <c r="G29" i="4"/>
  <c r="E29" i="4"/>
  <c r="F29" i="4" s="1"/>
  <c r="H28" i="4"/>
  <c r="G28" i="4"/>
  <c r="E28" i="4"/>
  <c r="F28" i="4" s="1"/>
  <c r="H27" i="4"/>
  <c r="G27" i="4"/>
  <c r="E27" i="4"/>
  <c r="F27" i="4" s="1"/>
  <c r="H26" i="4"/>
  <c r="G26" i="4"/>
  <c r="E26" i="4"/>
  <c r="F26" i="4" s="1"/>
  <c r="H25" i="4"/>
  <c r="G25" i="4"/>
  <c r="E25" i="4"/>
  <c r="F25" i="4" s="1"/>
  <c r="H24" i="4"/>
  <c r="H36" i="4" s="1"/>
  <c r="G24" i="4"/>
  <c r="G36" i="4" s="1"/>
  <c r="E24" i="4"/>
  <c r="H19" i="4"/>
  <c r="F19" i="4"/>
  <c r="E19" i="4"/>
  <c r="H18" i="4"/>
  <c r="F18" i="4"/>
  <c r="E18" i="4"/>
  <c r="H17" i="4"/>
  <c r="F17" i="4"/>
  <c r="E17" i="4"/>
  <c r="H16" i="4"/>
  <c r="F16" i="4"/>
  <c r="E16" i="4"/>
  <c r="H15" i="4"/>
  <c r="F15" i="4"/>
  <c r="E15" i="4"/>
  <c r="H14" i="4"/>
  <c r="F14" i="4"/>
  <c r="E14" i="4"/>
  <c r="H13" i="4"/>
  <c r="F13" i="4"/>
  <c r="E13" i="4"/>
  <c r="H12" i="4"/>
  <c r="F12" i="4"/>
  <c r="E12" i="4"/>
  <c r="C49" i="3"/>
  <c r="F41" i="3"/>
  <c r="D41" i="3"/>
  <c r="F40" i="3"/>
  <c r="D40" i="3"/>
  <c r="F39" i="3"/>
  <c r="D39" i="3"/>
  <c r="F38" i="3"/>
  <c r="D38" i="3"/>
  <c r="F37" i="3"/>
  <c r="D37" i="3"/>
  <c r="F36" i="3"/>
  <c r="D36" i="3"/>
  <c r="F35" i="3"/>
  <c r="D35" i="3"/>
  <c r="F34" i="3"/>
  <c r="D34" i="3"/>
  <c r="F33" i="3"/>
  <c r="D33" i="3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J18" i="3"/>
  <c r="I18" i="3"/>
  <c r="H18" i="3"/>
  <c r="G18" i="3"/>
  <c r="F18" i="3"/>
  <c r="D18" i="3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C44" i="8" l="1"/>
  <c r="C53" i="8"/>
  <c r="C55" i="8"/>
  <c r="D53" i="8"/>
  <c r="D55" i="8"/>
  <c r="C52" i="8"/>
  <c r="D52" i="8"/>
  <c r="I22" i="6"/>
  <c r="G22" i="6"/>
  <c r="H22" i="6"/>
  <c r="I21" i="6"/>
  <c r="G21" i="6"/>
  <c r="H21" i="6"/>
  <c r="G20" i="6"/>
  <c r="H20" i="6"/>
  <c r="I20" i="6"/>
  <c r="I19" i="6"/>
  <c r="H19" i="6"/>
  <c r="G19" i="6"/>
  <c r="I18" i="6"/>
  <c r="H18" i="6"/>
  <c r="G18" i="6"/>
  <c r="C23" i="6"/>
  <c r="E36" i="4"/>
  <c r="F36" i="4" s="1"/>
  <c r="F24" i="4"/>
  <c r="I19" i="3"/>
  <c r="L18" i="3"/>
  <c r="G19" i="3"/>
  <c r="K18" i="3"/>
  <c r="M18" i="3" s="1"/>
  <c r="K78" i="2"/>
  <c r="L78" i="2"/>
  <c r="K77" i="2"/>
  <c r="L77" i="2"/>
  <c r="K76" i="2"/>
  <c r="L76" i="2"/>
  <c r="K75" i="2"/>
  <c r="L75" i="2"/>
  <c r="K74" i="2"/>
  <c r="L74" i="2"/>
  <c r="K73" i="2"/>
  <c r="L73" i="2"/>
  <c r="K72" i="2"/>
  <c r="L72" i="2"/>
  <c r="K71" i="2"/>
  <c r="L71" i="2"/>
  <c r="K70" i="2"/>
  <c r="L70" i="2"/>
  <c r="K69" i="2"/>
  <c r="L69" i="2"/>
  <c r="K68" i="2"/>
  <c r="L68" i="2"/>
  <c r="L67" i="2"/>
  <c r="K67" i="2"/>
  <c r="K66" i="2"/>
  <c r="L66" i="2"/>
  <c r="K65" i="2"/>
  <c r="L65" i="2"/>
  <c r="K64" i="2"/>
  <c r="L64" i="2"/>
  <c r="K63" i="2"/>
  <c r="L63" i="2"/>
  <c r="K62" i="2"/>
  <c r="L62" i="2"/>
  <c r="K61" i="2"/>
  <c r="L61" i="2"/>
  <c r="L60" i="2"/>
  <c r="K60" i="2"/>
  <c r="K59" i="2"/>
  <c r="L59" i="2"/>
  <c r="K58" i="2"/>
  <c r="L58" i="2"/>
  <c r="K57" i="2"/>
  <c r="L57" i="2"/>
  <c r="L56" i="2"/>
  <c r="K56" i="2"/>
  <c r="K55" i="2"/>
  <c r="L55" i="2"/>
  <c r="K54" i="2"/>
  <c r="L54" i="2"/>
  <c r="K53" i="2"/>
  <c r="L53" i="2"/>
  <c r="K52" i="2"/>
  <c r="L52" i="2"/>
  <c r="K51" i="2"/>
  <c r="L51" i="2"/>
  <c r="K50" i="2"/>
  <c r="L50" i="2"/>
  <c r="K49" i="2"/>
  <c r="L49" i="2"/>
  <c r="L48" i="2"/>
  <c r="K48" i="2"/>
  <c r="K47" i="2"/>
  <c r="L47" i="2"/>
  <c r="K46" i="2"/>
  <c r="L46" i="2"/>
  <c r="K45" i="2"/>
  <c r="L45" i="2"/>
  <c r="K44" i="2"/>
  <c r="L44" i="2"/>
  <c r="K43" i="2"/>
  <c r="L43" i="2"/>
  <c r="K42" i="2"/>
  <c r="L42" i="2"/>
  <c r="K41" i="2"/>
  <c r="L41" i="2"/>
  <c r="K40" i="2"/>
  <c r="L40" i="2"/>
  <c r="L39" i="2"/>
  <c r="K39" i="2"/>
  <c r="K38" i="2"/>
  <c r="L38" i="2"/>
  <c r="K37" i="2"/>
  <c r="L37" i="2"/>
  <c r="L36" i="2"/>
  <c r="K36" i="2"/>
  <c r="K35" i="2"/>
  <c r="L35" i="2"/>
  <c r="L34" i="2"/>
  <c r="K34" i="2"/>
  <c r="K33" i="2"/>
  <c r="L33" i="2"/>
  <c r="E88" i="2" s="1"/>
  <c r="K32" i="2"/>
  <c r="L32" i="2"/>
  <c r="L31" i="2"/>
  <c r="K31" i="2"/>
  <c r="K30" i="2"/>
  <c r="L30" i="2"/>
  <c r="K29" i="2"/>
  <c r="L29" i="2"/>
  <c r="C82" i="2"/>
  <c r="E82" i="2"/>
  <c r="E86" i="2" s="1"/>
  <c r="C83" i="2"/>
  <c r="D83" i="2" s="1"/>
  <c r="E83" i="2"/>
  <c r="C84" i="2"/>
  <c r="E84" i="2"/>
  <c r="C85" i="2"/>
  <c r="E85" i="2"/>
  <c r="G44" i="8"/>
  <c r="G46" i="8" s="1"/>
  <c r="F44" i="8"/>
  <c r="F46" i="8" s="1"/>
  <c r="E44" i="8"/>
  <c r="E46" i="8" s="1"/>
  <c r="C45" i="8" l="1"/>
  <c r="C46" i="8"/>
  <c r="J19" i="3"/>
  <c r="L19" i="3"/>
  <c r="I20" i="3"/>
  <c r="H19" i="3"/>
  <c r="K19" i="3"/>
  <c r="G20" i="3"/>
  <c r="D82" i="2"/>
  <c r="C86" i="2"/>
  <c r="D84" i="2"/>
  <c r="D85" i="2"/>
  <c r="D23" i="6"/>
  <c r="C27" i="6"/>
  <c r="C24" i="6"/>
  <c r="D56" i="8" l="1"/>
  <c r="D57" i="8"/>
  <c r="D45" i="8"/>
  <c r="E45" i="8" s="1"/>
  <c r="F45" i="8" s="1"/>
  <c r="G45" i="8" s="1"/>
  <c r="C56" i="8"/>
  <c r="C57" i="8"/>
  <c r="C54" i="8"/>
  <c r="D54" i="8"/>
  <c r="J20" i="3"/>
  <c r="L20" i="3"/>
  <c r="I21" i="3"/>
  <c r="H20" i="3"/>
  <c r="K20" i="3"/>
  <c r="M20" i="3" s="1"/>
  <c r="G21" i="3"/>
  <c r="G23" i="6"/>
  <c r="G24" i="6" s="1"/>
  <c r="C28" i="6" s="1"/>
  <c r="H23" i="6"/>
  <c r="H24" i="6" s="1"/>
  <c r="I23" i="6"/>
  <c r="I24" i="6" s="1"/>
  <c r="C30" i="6" s="1"/>
  <c r="C32" i="6" s="1"/>
  <c r="D24" i="6"/>
  <c r="M19" i="3"/>
  <c r="J21" i="3" l="1"/>
  <c r="L21" i="3"/>
  <c r="I22" i="3"/>
  <c r="H21" i="3"/>
  <c r="K21" i="3"/>
  <c r="M21" i="3" s="1"/>
  <c r="G22" i="3"/>
  <c r="C29" i="6"/>
  <c r="C31" i="6"/>
  <c r="J22" i="3" l="1"/>
  <c r="L22" i="3"/>
  <c r="I23" i="3"/>
  <c r="H22" i="3"/>
  <c r="K22" i="3"/>
  <c r="M22" i="3" s="1"/>
  <c r="G23" i="3"/>
  <c r="J23" i="3" l="1"/>
  <c r="L23" i="3"/>
  <c r="I24" i="3"/>
  <c r="H23" i="3"/>
  <c r="K23" i="3"/>
  <c r="M23" i="3" s="1"/>
  <c r="G24" i="3"/>
  <c r="J24" i="3" l="1"/>
  <c r="L24" i="3"/>
  <c r="I25" i="3"/>
  <c r="H24" i="3"/>
  <c r="K24" i="3"/>
  <c r="M24" i="3" s="1"/>
  <c r="G25" i="3"/>
  <c r="J25" i="3" l="1"/>
  <c r="L25" i="3"/>
  <c r="I26" i="3"/>
  <c r="H25" i="3"/>
  <c r="K25" i="3"/>
  <c r="M25" i="3" s="1"/>
  <c r="G26" i="3"/>
  <c r="J26" i="3" l="1"/>
  <c r="L26" i="3"/>
  <c r="I27" i="3"/>
  <c r="H26" i="3"/>
  <c r="K26" i="3"/>
  <c r="M26" i="3" s="1"/>
  <c r="G27" i="3"/>
  <c r="J27" i="3" l="1"/>
  <c r="L27" i="3"/>
  <c r="I28" i="3"/>
  <c r="H27" i="3"/>
  <c r="K27" i="3"/>
  <c r="M27" i="3" s="1"/>
  <c r="G28" i="3"/>
  <c r="J28" i="3" l="1"/>
  <c r="L28" i="3"/>
  <c r="I29" i="3"/>
  <c r="H28" i="3"/>
  <c r="K28" i="3"/>
  <c r="G29" i="3"/>
  <c r="J29" i="3" l="1"/>
  <c r="L29" i="3"/>
  <c r="I30" i="3"/>
  <c r="H29" i="3"/>
  <c r="K29" i="3"/>
  <c r="M29" i="3" s="1"/>
  <c r="G30" i="3"/>
  <c r="M28" i="3"/>
  <c r="J30" i="3" l="1"/>
  <c r="L30" i="3"/>
  <c r="I31" i="3"/>
  <c r="H30" i="3"/>
  <c r="K30" i="3"/>
  <c r="M30" i="3" s="1"/>
  <c r="G31" i="3"/>
  <c r="J31" i="3" l="1"/>
  <c r="L31" i="3"/>
  <c r="I32" i="3"/>
  <c r="H31" i="3"/>
  <c r="K31" i="3"/>
  <c r="M31" i="3" s="1"/>
  <c r="G32" i="3"/>
  <c r="J32" i="3" l="1"/>
  <c r="L32" i="3"/>
  <c r="I33" i="3"/>
  <c r="H32" i="3"/>
  <c r="K32" i="3"/>
  <c r="G33" i="3"/>
  <c r="J33" i="3" l="1"/>
  <c r="L33" i="3"/>
  <c r="I34" i="3"/>
  <c r="H33" i="3"/>
  <c r="K33" i="3"/>
  <c r="M33" i="3" s="1"/>
  <c r="G34" i="3"/>
  <c r="M32" i="3"/>
  <c r="J34" i="3" l="1"/>
  <c r="I35" i="3"/>
  <c r="L34" i="3"/>
  <c r="H34" i="3"/>
  <c r="K34" i="3"/>
  <c r="M34" i="3" s="1"/>
  <c r="G35" i="3"/>
  <c r="L35" i="3" l="1"/>
  <c r="J35" i="3"/>
  <c r="I36" i="3"/>
  <c r="H35" i="3"/>
  <c r="K35" i="3"/>
  <c r="G36" i="3"/>
  <c r="L36" i="3" l="1"/>
  <c r="J36" i="3"/>
  <c r="I37" i="3"/>
  <c r="K36" i="3"/>
  <c r="G37" i="3"/>
  <c r="H36" i="3"/>
  <c r="M35" i="3"/>
  <c r="J37" i="3" l="1"/>
  <c r="L37" i="3"/>
  <c r="I38" i="3"/>
  <c r="K37" i="3"/>
  <c r="M37" i="3" s="1"/>
  <c r="G38" i="3"/>
  <c r="H37" i="3"/>
  <c r="M36" i="3"/>
  <c r="L38" i="3" l="1"/>
  <c r="J38" i="3"/>
  <c r="I39" i="3"/>
  <c r="H38" i="3"/>
  <c r="G39" i="3"/>
  <c r="K38" i="3"/>
  <c r="L39" i="3" l="1"/>
  <c r="J39" i="3"/>
  <c r="I40" i="3"/>
  <c r="H39" i="3"/>
  <c r="K39" i="3"/>
  <c r="G40" i="3"/>
  <c r="M38" i="3"/>
  <c r="J40" i="3" l="1"/>
  <c r="L40" i="3"/>
  <c r="I41" i="3"/>
  <c r="H40" i="3"/>
  <c r="K40" i="3"/>
  <c r="G41" i="3"/>
  <c r="M39" i="3"/>
  <c r="J41" i="3" l="1"/>
  <c r="L41" i="3"/>
  <c r="D46" i="3" s="1"/>
  <c r="D45" i="3"/>
  <c r="H41" i="3"/>
  <c r="K41" i="3"/>
  <c r="C45" i="3"/>
  <c r="M40" i="3"/>
  <c r="D47" i="3" l="1"/>
  <c r="D48" i="3"/>
  <c r="C47" i="3"/>
  <c r="C48" i="3"/>
  <c r="M41" i="3"/>
  <c r="C50" i="3" s="1"/>
  <c r="C46" i="3"/>
</calcChain>
</file>

<file path=xl/sharedStrings.xml><?xml version="1.0" encoding="utf-8"?>
<sst xmlns="http://schemas.openxmlformats.org/spreadsheetml/2006/main" count="706" uniqueCount="557">
  <si>
    <t>GENERATIVE AI FOR FINANCE</t>
  </si>
  <si>
    <t>Training Case Studies &amp; Practice Materials</t>
  </si>
  <si>
    <t>Trainer: Fakhrul Syahmi  |  mufasyahcons@gmail.com  |  © 2026</t>
  </si>
  <si>
    <t>WORKBOOK CONTENTS</t>
  </si>
  <si>
    <t>Sheet Name</t>
  </si>
  <si>
    <t>Description</t>
  </si>
  <si>
    <t>📋 Instructions</t>
  </si>
  <si>
    <t>This sheet — overview and navigation guide</t>
  </si>
  <si>
    <t>🏦 CS1 — Fraud Detection</t>
  </si>
  <si>
    <t>Module 6: Analyse 500 transactions, build fraud scoring model</t>
  </si>
  <si>
    <t>📈 CS2 — Trading AI</t>
  </si>
  <si>
    <t>Module 3: Backtest AI trading signals vs benchmark returns</t>
  </si>
  <si>
    <t>🪪 CS3 — KYC Dashboard</t>
  </si>
  <si>
    <t>Module 4: e-KYC onboarding metrics and automation analysis</t>
  </si>
  <si>
    <t>⚖️ CS4 — Compliance Tracker</t>
  </si>
  <si>
    <t>Module 5: Regulatory compliance gap analysis tool</t>
  </si>
  <si>
    <t>💰 CS5 — Robo-Advisor</t>
  </si>
  <si>
    <t>Module 11: AI portfolio optimizer and risk-return dashboard</t>
  </si>
  <si>
    <t>🤖 CS6 — Prompt Engineering</t>
  </si>
  <si>
    <t>Module 7: Structured prompt building templates for finance</t>
  </si>
  <si>
    <t>📊 CS7 — AI ROI Calculator</t>
  </si>
  <si>
    <t>Module 9: Calculate ROI and business case for AI investment</t>
  </si>
  <si>
    <t>📝 Assessment</t>
  </si>
  <si>
    <t>Post-training assessment answer sheet</t>
  </si>
  <si>
    <t>HOW TO USE THIS WORKBOOK</t>
  </si>
  <si>
    <t>🔵 BLUE cells = Input cells — enter your answers and assumptions here</t>
  </si>
  <si>
    <t>⚫ BLACK cells = Formulas — these calculate automatically (do not edit)</t>
  </si>
  <si>
    <t>🟢 GREEN cells = Answers / Solutions — revealed after activity</t>
  </si>
  <si>
    <t>🟡 YELLOW cells = Key assumptions that need your attention</t>
  </si>
  <si>
    <t>📌 Each case study includes: Background → Data → Tasks → Analysis → Discussion Questions</t>
  </si>
  <si>
    <t>💡 Use the AI tools (ChatGPT, Copilot) alongside this workbook for integrated learning</t>
  </si>
  <si>
    <t>© 2026 Fakhrul Syahmi | Data Consultant &amp; Certified Trainer | mufasyahcons@gmail.com</t>
  </si>
  <si>
    <t>CASE STUDY 1: AI FRAUD DETECTION MODEL</t>
  </si>
  <si>
    <t>Module 6 — AI in Fraud Detection &amp; Risk Mitigation</t>
  </si>
  <si>
    <t>📌  BACKGROUND</t>
  </si>
  <si>
    <t>You are the AI Risk Analyst at Maybank Digital. Your team has flagged a dataset of 50 recent transactions</t>
  </si>
  <si>
    <t>from retail banking customers. Your task is to build a fraud scoring model using key risk indicators,</t>
  </si>
  <si>
    <t>identify high-risk transactions, and recommend an AI-powered response strategy.</t>
  </si>
  <si>
    <t>🎯  YOUR TASKS</t>
  </si>
  <si>
    <t>TASK 1: Review the transaction dataset below and calculate the Fraud Risk Score for each transaction</t>
  </si>
  <si>
    <t>TASK 2: Use COUNTIF formulas to count transactions by risk category (Low / Medium / High / Critical)</t>
  </si>
  <si>
    <t>TASK 3: Identify the top 5 highest-risk transactions and recommend an AI response action</t>
  </si>
  <si>
    <t>TASK 4: Calculate the estimated financial loss prevented if AI flags all HIGH and CRITICAL transactions</t>
  </si>
  <si>
    <t>TASK 5: In the Discussion section at the bottom, answer the reflection questions</t>
  </si>
  <si>
    <t>📐  FRAUD RISK SCORING GUIDE  (Blue cells = inputs; Black cells = formulas)</t>
  </si>
  <si>
    <t>Risk Factor</t>
  </si>
  <si>
    <t>Weight</t>
  </si>
  <si>
    <t>Low Score (1)</t>
  </si>
  <si>
    <t>Medium Score (2)</t>
  </si>
  <si>
    <t>High Score (3)</t>
  </si>
  <si>
    <t>Transaction Amount (RM)</t>
  </si>
  <si>
    <t>25%</t>
  </si>
  <si>
    <t>&lt; RM 1,000</t>
  </si>
  <si>
    <t>RM 1,000 – 10,000</t>
  </si>
  <si>
    <t>&gt; RM 10,000</t>
  </si>
  <si>
    <t>Location Mismatch</t>
  </si>
  <si>
    <t>20%</t>
  </si>
  <si>
    <t>Same city</t>
  </si>
  <si>
    <t>Different city</t>
  </si>
  <si>
    <t>International</t>
  </si>
  <si>
    <t>Transaction Hour</t>
  </si>
  <si>
    <t>15%</t>
  </si>
  <si>
    <t>8am – 8pm</t>
  </si>
  <si>
    <t>8pm – 12am</t>
  </si>
  <si>
    <t>12am – 8am</t>
  </si>
  <si>
    <t>Device Fingerprint</t>
  </si>
  <si>
    <t>Known device</t>
  </si>
  <si>
    <t>New device</t>
  </si>
  <si>
    <t>Anonymous/VPN</t>
  </si>
  <si>
    <t>Transaction Frequency</t>
  </si>
  <si>
    <t>&lt; 3 per hour</t>
  </si>
  <si>
    <t>3–10 per hour</t>
  </si>
  <si>
    <t>&gt; 10 per hour</t>
  </si>
  <si>
    <t>📊  TRANSACTION DATASET  (50 Transactions)</t>
  </si>
  <si>
    <t>Txn ID</t>
  </si>
  <si>
    <t>Customer</t>
  </si>
  <si>
    <t>Amount (RM)</t>
  </si>
  <si>
    <t>Location Score</t>
  </si>
  <si>
    <t>Hour Score</t>
  </si>
  <si>
    <t>Device Score</t>
  </si>
  <si>
    <t>Freq Score</t>
  </si>
  <si>
    <t>Fraud Risk Score</t>
  </si>
  <si>
    <t>Risk Category</t>
  </si>
  <si>
    <t>AI Action</t>
  </si>
  <si>
    <t>Est. Loss (RM)</t>
  </si>
  <si>
    <t>TXN-1001</t>
  </si>
  <si>
    <t>Ahmad Razif</t>
  </si>
  <si>
    <t>TXN-1002</t>
  </si>
  <si>
    <t>Siti Hajar</t>
  </si>
  <si>
    <t>TXN-1003</t>
  </si>
  <si>
    <t>Lim Wei</t>
  </si>
  <si>
    <t>TXN-1004</t>
  </si>
  <si>
    <t>Priya Nair</t>
  </si>
  <si>
    <t>TXN-1005</t>
  </si>
  <si>
    <t>Farah Bt Ali</t>
  </si>
  <si>
    <t>TXN-1006</t>
  </si>
  <si>
    <t>Tan Eng Hock</t>
  </si>
  <si>
    <t>TXN-1007</t>
  </si>
  <si>
    <t>Mohd Faris</t>
  </si>
  <si>
    <t>TXN-1008</t>
  </si>
  <si>
    <t>Jessica Ong</t>
  </si>
  <si>
    <t>TXN-1009</t>
  </si>
  <si>
    <t>Raj Kumar</t>
  </si>
  <si>
    <t>TXN-1010</t>
  </si>
  <si>
    <t>Nurul Ain</t>
  </si>
  <si>
    <t>TXN-1011</t>
  </si>
  <si>
    <t>TXN-1012</t>
  </si>
  <si>
    <t>TXN-1013</t>
  </si>
  <si>
    <t>TXN-1014</t>
  </si>
  <si>
    <t>TXN-1015</t>
  </si>
  <si>
    <t>TXN-1016</t>
  </si>
  <si>
    <t>TXN-1017</t>
  </si>
  <si>
    <t>TXN-1018</t>
  </si>
  <si>
    <t>TXN-1019</t>
  </si>
  <si>
    <t>TXN-1020</t>
  </si>
  <si>
    <t>TXN-1021</t>
  </si>
  <si>
    <t>TXN-1022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</si>
  <si>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</si>
  <si>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</si>
  <si>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</si>
  <si>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</si>
  <si>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</si>
  <si>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</si>
  <si>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</si>
  <si>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</si>
  <si>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</si>
  <si>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</si>
  <si>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</si>
  <si>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</si>
  <si>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</si>
  <si>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</si>
  <si>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</si>
  <si>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</si>
  <si>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</si>
  <si>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</si>
  <si>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</si>
  <si>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</si>
  <si>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</si>
  <si>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</si>
  <si>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</si>
  <si>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</si>
  <si>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</si>
  <si>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</si>
  <si>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</si>
  <si>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TXN-1050</t>
  </si>
  <si>
    <t>📈  FRAUD ANALYSIS SUMMARY  (Auto-calculated)</t>
  </si>
  <si>
    <t>Count</t>
  </si>
  <si>
    <t>% of Total</t>
  </si>
  <si>
    <t>Total Amount at Risk (RM)</t>
  </si>
  <si>
    <t>Low</t>
  </si>
  <si>
    <t>Medium</t>
  </si>
  <si>
    <t>High</t>
  </si>
  <si>
    <t>Critical</t>
  </si>
  <si>
    <t>TOTAL</t>
  </si>
  <si>
    <t>💰 Estimated Loss Prevented by AI (RM)</t>
  </si>
  <si>
    <t>💬  DISCUSSION QUESTIONS</t>
  </si>
  <si>
    <t>1. Which risk factor has the greatest impact on fraud detection? Why?</t>
  </si>
  <si>
    <t>Your Answer:</t>
  </si>
  <si>
    <t>2. What are the risks of having too many 'Critical' classifications? (False positives)</t>
  </si>
  <si>
    <t>3. How would a real AI fraud model differ from this simplified scoring model?</t>
  </si>
  <si>
    <t>4. What additional data sources would improve this fraud detection model?</t>
  </si>
  <si>
    <t>5. How should the bank balance customer experience vs. security in AI fraud responses?</t>
  </si>
  <si>
    <t>CASE STUDY 2: AI TRADING SIGNAL BACKTEST</t>
  </si>
  <si>
    <t>Module 3 — AI-Driven Trading Strategies &amp; Market Insights</t>
  </si>
  <si>
    <t>You are an AI Trading Analyst at a Malaysian fund house. You have received 24 months of KLCI stock data with AI-generated BUY/SELL signals. Your task is to backtest the AI strategy vs a simple 'Buy &amp; Hold' benchmark and evaluate performance.</t>
  </si>
  <si>
    <t>⚙️  ASSUMPTIONS (Blue = editable inputs)</t>
  </si>
  <si>
    <t>Starting Portfolio Value (RM)</t>
  </si>
  <si>
    <t>Transaction Cost per Trade (%)</t>
  </si>
  <si>
    <t>AI Signal Accuracy Assumption (%)</t>
  </si>
  <si>
    <t>Benchmark Annual Return (%)</t>
  </si>
  <si>
    <t>📊  24-MONTH TRADING DATA</t>
  </si>
  <si>
    <t>Month</t>
  </si>
  <si>
    <t>KLCI Price</t>
  </si>
  <si>
    <t>Monthly Return</t>
  </si>
  <si>
    <t>AI Signal</t>
  </si>
  <si>
    <t>AI Trade</t>
  </si>
  <si>
    <t>AI Portfolio Value</t>
  </si>
  <si>
    <t>AI Monthly PnL</t>
  </si>
  <si>
    <t>B&amp;H Value</t>
  </si>
  <si>
    <t>B&amp;H Monthly PnL</t>
  </si>
  <si>
    <t>Cumulative AI Return</t>
  </si>
  <si>
    <t>Cumulative B&amp;H Return</t>
  </si>
  <si>
    <t>Outperformance</t>
  </si>
  <si>
    <t>Jan 2024</t>
  </si>
  <si>
    <t>BUY</t>
  </si>
  <si>
    <t>Feb 2024</t>
  </si>
  <si>
    <t>HOLD</t>
  </si>
  <si>
    <t>Mar 2024</t>
  </si>
  <si>
    <t>SELL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</si>
  <si>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</si>
  <si>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</si>
  <si>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</si>
  <si>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</si>
  <si>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</si>
  <si>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</si>
  <si>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</si>
  <si>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</si>
  <si>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</si>
  <si>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</si>
  <si>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</si>
  <si>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</si>
  <si>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</si>
  <si>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</si>
  <si>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</si>
  <si>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</si>
  <si>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</si>
  <si>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</si>
  <si>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</si>
  <si>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</si>
  <si>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</si>
  <si>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🏆  PERFORMANCE SUMMARY</t>
  </si>
  <si>
    <t>Metric</t>
  </si>
  <si>
    <t>AI Strategy</t>
  </si>
  <si>
    <t>Buy &amp; Hold</t>
  </si>
  <si>
    <t>Final Portfolio Value (RM)</t>
  </si>
  <si>
    <t>Total Return (%)</t>
  </si>
  <si>
    <t>Best Month (RM gain)</t>
  </si>
  <si>
    <t>Worst Month (RM loss)</t>
  </si>
  <si>
    <t>Number of Trades</t>
  </si>
  <si>
    <t>1</t>
  </si>
  <si>
    <t>AI Outperformance</t>
  </si>
  <si>
    <t>N/A</t>
  </si>
  <si>
    <t>1. Did the AI strategy outperform Buy &amp; Hold? What factors contributed to this?</t>
  </si>
  <si>
    <t>2. What is the impact of transaction costs on AI trading strategies with frequent signals?</t>
  </si>
  <si>
    <t>3. How would you improve this AI model? What additional signals would you add?</t>
  </si>
  <si>
    <t>4. What risks exist when relying purely on AI-generated trading signals?</t>
  </si>
  <si>
    <t>CASE STUDY 3: e-KYC ONBOARDING DASHBOARD</t>
  </si>
  <si>
    <t>Module 4 — Automating Brokerage Operations with GenAI</t>
  </si>
  <si>
    <t>Deriv Malaysia's compliance team wants to measure the impact of AI-powered e-KYC vs traditional manual KYC. Analyse the data below and build KPIs to demonstrate the business case for AI adoption.</t>
  </si>
  <si>
    <t>📊  KYC PROCESS COMPARISON DATA</t>
  </si>
  <si>
    <t>Manual KYC</t>
  </si>
  <si>
    <t>AI e-KYC</t>
  </si>
  <si>
    <t>Difference</t>
  </si>
  <si>
    <t>% Improvement</t>
  </si>
  <si>
    <t>Target</t>
  </si>
  <si>
    <t>Status</t>
  </si>
  <si>
    <t>Notes</t>
  </si>
  <si>
    <t>Avg Onboarding Time (hrs)</t>
  </si>
  <si>
    <t>BNM target: &lt; 1 working day</t>
  </si>
  <si>
    <t>Document Verification Accuracy (%)</t>
  </si>
  <si>
    <t>AI uses OCR + ML</t>
  </si>
  <si>
    <t>False Rejection Rate (%)</t>
  </si>
  <si>
    <t>Lower is better</t>
  </si>
  <si>
    <t>Cost per Customer (RM)</t>
  </si>
  <si>
    <t>Includes staff + tech cost</t>
  </si>
  <si>
    <t>Customer Drop-off Rate (%)</t>
  </si>
  <si>
    <t>% who abandon process</t>
  </si>
  <si>
    <t>Daily Capacity (customers)</t>
  </si>
  <si>
    <t>Scalability advantage</t>
  </si>
  <si>
    <t>Compliance Audit Pass Rate (%)</t>
  </si>
  <si>
    <t>AI maintains audit trail</t>
  </si>
  <si>
    <t>Staff Hours per 100 onboardings</t>
  </si>
  <si>
    <t>FTE efficiency gain</t>
  </si>
  <si>
    <t>📅  MONTHLY ONBOARDING VOLUME (Jan–Dec 2025)</t>
  </si>
  <si>
    <t>Total</t>
  </si>
  <si>
    <t>AI Share (%)</t>
  </si>
  <si>
    <t>Cost Saving (RM)</t>
  </si>
  <si>
    <t>Time Saved (hrs)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</si>
  <si>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</si>
  <si>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</si>
  <si>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</si>
  <si>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</si>
  <si>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</si>
  <si>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</si>
  <si>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</si>
  <si>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</si>
  <si>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</si>
  <si>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</si>
  <si>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</si>
  <si>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</si>
  <si>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/ ANNUAL</t>
  </si>
  <si>
    <t>CASE STUDY 4: AI REGULATORY COMPLIANCE TRACKER</t>
  </si>
  <si>
    <t>Module 5 — AI in Regulatory Compliance (Malaysia &amp; Global)</t>
  </si>
  <si>
    <t>You are the Compliance AI Lead at a Malaysian investment bank. Complete this regulatory gap analysis to identify which compliance requirements your AI systems currently meet, which need improvement, and prioritize remediation actions.</t>
  </si>
  <si>
    <t>📋  REGULATORY COMPLIANCE GAP ANALYSIS</t>
  </si>
  <si>
    <t>Requirement</t>
  </si>
  <si>
    <t>Regulator</t>
  </si>
  <si>
    <t>Priority</t>
  </si>
  <si>
    <t>Current Status</t>
  </si>
  <si>
    <t>Compliance %</t>
  </si>
  <si>
    <t>Gap</t>
  </si>
  <si>
    <t>Remediation Action</t>
  </si>
  <si>
    <t>AI Solution Available</t>
  </si>
  <si>
    <t>Deadline</t>
  </si>
  <si>
    <t>Model Risk Management Framework</t>
  </si>
  <si>
    <t>BNM</t>
  </si>
  <si>
    <t>Partial</t>
  </si>
  <si>
    <t>Implement model validation pipeline</t>
  </si>
  <si>
    <t>Yes — MLflow, Azure ML</t>
  </si>
  <si>
    <t>Q2 2026</t>
  </si>
  <si>
    <t>Customer Data Protection (PDPA)</t>
  </si>
  <si>
    <t>PDPC Malaysia</t>
  </si>
  <si>
    <t>Compliant</t>
  </si>
  <si>
    <t>Annual audit and training</t>
  </si>
  <si>
    <t>Yes — Data masking AI</t>
  </si>
  <si>
    <t>Ongoing</t>
  </si>
  <si>
    <t>AI Explainability for Credit Decisions</t>
  </si>
  <si>
    <t>BNM TEFAS</t>
  </si>
  <si>
    <t>Not Started</t>
  </si>
  <si>
    <t>Deploy XAI framework (SHAP/LIME)</t>
  </si>
  <si>
    <t>Yes — Explainable AI tools</t>
  </si>
  <si>
    <t>Q3 2026</t>
  </si>
  <si>
    <t>AML/CFT Transaction Monitoring</t>
  </si>
  <si>
    <t>BNM / FIED</t>
  </si>
  <si>
    <t>Upgrade AI monitoring engine</t>
  </si>
  <si>
    <t>Yes — AML AI platforms</t>
  </si>
  <si>
    <t>Q1 2026</t>
  </si>
  <si>
    <t>Fairness &amp; Bias Testing</t>
  </si>
  <si>
    <t>Monthly bias audits for all models</t>
  </si>
  <si>
    <t>Yes — IBM AI Fairness 360</t>
  </si>
  <si>
    <t>EU AI Act Compliance (for EU clients)</t>
  </si>
  <si>
    <t>EU AI Office</t>
  </si>
  <si>
    <t>Under Review</t>
  </si>
  <si>
    <t>Register high-risk AI systems</t>
  </si>
  <si>
    <t>Partial — Legal review needed</t>
  </si>
  <si>
    <t>Aug 2026</t>
  </si>
  <si>
    <t>MAS FEAT Principles (Singapore ops)</t>
  </si>
  <si>
    <t>MAS</t>
  </si>
  <si>
    <t>Align with FEAT assessment tool</t>
  </si>
  <si>
    <t>Yes — MAS FEAT toolkit</t>
  </si>
  <si>
    <t>Cyber Security Risk for AI Systems</t>
  </si>
  <si>
    <t>BNM / CyberSecurity MY</t>
  </si>
  <si>
    <t>AI-specific penetration testing</t>
  </si>
  <si>
    <t>Yes — AI security scanners</t>
  </si>
  <si>
    <t>AI Vendor Third-Party Risk</t>
  </si>
  <si>
    <t>Vendor AI governance questionnaire</t>
  </si>
  <si>
    <t>Partial — Manual + AI assist</t>
  </si>
  <si>
    <t>Regulatory Reporting Automation</t>
  </si>
  <si>
    <t>SC Malaysia</t>
  </si>
  <si>
    <t>Maintain and expand automation</t>
  </si>
  <si>
    <t>Yes — GenAI report drafting</t>
  </si>
  <si>
    <t>Consumer Redress for AI Decisions</t>
  </si>
  <si>
    <t>BNM / BNMLINK</t>
  </si>
  <si>
    <t>Build AI decision appeal process</t>
  </si>
  <si>
    <t>Partial — Workflow automation</t>
  </si>
  <si>
    <t>Climate Risk AI Stress Testing</t>
  </si>
  <si>
    <t>BNM / TCFD</t>
  </si>
  <si>
    <t>Develop climate risk AI model</t>
  </si>
  <si>
    <t>Emerging — Few solutions</t>
  </si>
  <si>
    <t>2027</t>
  </si>
  <si>
    <t>📊  COMPLIANCE SUMMARY DASHBOARD</t>
  </si>
  <si>
    <t>Category</t>
  </si>
  <si>
    <t>Avg Compliance</t>
  </si>
  <si>
    <t>Requirements at Risk</t>
  </si>
  <si>
    <t>Critical Priority</t>
  </si>
  <si>
    <t>High Priority</t>
  </si>
  <si>
    <t>Medium Priority</t>
  </si>
  <si>
    <t>Low Priority</t>
  </si>
  <si>
    <t>CASE STUDY 5: AI ROBO-ADVISOR &amp; PORTFOLIO OPTIMIZER</t>
  </si>
  <si>
    <t>Module 11 — AI in Personalized Wealth Management &amp; Advisory</t>
  </si>
  <si>
    <t>⚙️  CLIENT RISK PROFILE INPUTS (Blue = participant fills in)</t>
  </si>
  <si>
    <t>Client Parameter</t>
  </si>
  <si>
    <t>Your Input</t>
  </si>
  <si>
    <t>Unit</t>
  </si>
  <si>
    <t>Guide</t>
  </si>
  <si>
    <t>Client Age</t>
  </si>
  <si>
    <t>years</t>
  </si>
  <si>
    <t>Enter between 20–65</t>
  </si>
  <si>
    <t>Annual Income (RM)</t>
  </si>
  <si>
    <t>RM</t>
  </si>
  <si>
    <t>Gross income</t>
  </si>
  <si>
    <t>Investment Amount (RM)</t>
  </si>
  <si>
    <t>Available to invest</t>
  </si>
  <si>
    <t>Investment Horizon (years)</t>
  </si>
  <si>
    <t>Time before needing funds</t>
  </si>
  <si>
    <t>Risk Tolerance Score (1–10)</t>
  </si>
  <si>
    <t>score</t>
  </si>
  <si>
    <t>1=Very Conservative, 10=Very Aggressive</t>
  </si>
  <si>
    <t>Financial Goals</t>
  </si>
  <si>
    <t>Retirement &amp; Child Education</t>
  </si>
  <si>
    <t>text</t>
  </si>
  <si>
    <t>Main investment goal</t>
  </si>
  <si>
    <t>🤖  AI PORTFOLIO RECOMMENDATION (Auto-generated based on inputs)</t>
  </si>
  <si>
    <t>Asset Class</t>
  </si>
  <si>
    <t>Allocation %</t>
  </si>
  <si>
    <t>Expected Return %</t>
  </si>
  <si>
    <t>Risk Level</t>
  </si>
  <si>
    <t>5-Yr Value (RM)</t>
  </si>
  <si>
    <t>10-Yr Value (RM)</t>
  </si>
  <si>
    <t>Dividend (RM/yr)</t>
  </si>
  <si>
    <t>Malaysian Equities (Bursa)</t>
  </si>
  <si>
    <t>Medium-High</t>
  </si>
  <si>
    <t>Global Equities (ETF)</t>
  </si>
  <si>
    <t>Malaysian Bonds (MGS)</t>
  </si>
  <si>
    <t>REITs (M-REITs)</t>
  </si>
  <si>
    <t>Gold / Commodities</t>
  </si>
  <si>
    <t>Cash / Money Market</t>
  </si>
  <si>
    <t>Very Low</t>
  </si>
  <si>
    <t>TOTAL PORTFOLIO</t>
  </si>
  <si>
    <t>📊  PORTFOLIO ANALYTICS</t>
  </si>
  <si>
    <t>Weighted Portfolio Return</t>
  </si>
  <si>
    <t>Total 5-Year Portfolio Value (RM)</t>
  </si>
  <si>
    <t>Total 10-Year Portfolio Value (RM)</t>
  </si>
  <si>
    <t>Annual Dividend Income (RM)</t>
  </si>
  <si>
    <t>Total Gain over 10 Years (RM)</t>
  </si>
  <si>
    <t>CAGR (10-Year)</t>
  </si>
  <si>
    <t>CASE STUDY 6: PROMPT ENGINEERING FOR FINANCE</t>
  </si>
  <si>
    <t>Module 7 — GenAI Technologies &amp; Models for Finance</t>
  </si>
  <si>
    <t>📐  THE FINANCE PROMPT FRAMEWORK</t>
  </si>
  <si>
    <t>ROLE + CONTEXT + TASK + FORMAT + CONSTRAINTS</t>
  </si>
  <si>
    <t>🔨  PROMPT BUILDER (Fill in the blue cells to construct your prompt)</t>
  </si>
  <si>
    <t>Component</t>
  </si>
  <si>
    <t>Instructions</t>
  </si>
  <si>
    <t>Your Input (🔵)</t>
  </si>
  <si>
    <t>Example</t>
  </si>
  <si>
    <t>ROLE</t>
  </si>
  <si>
    <t>Who should the AI pretend to be?</t>
  </si>
  <si>
    <t>You are a Senior Credit Risk Analyst at Maybank</t>
  </si>
  <si>
    <t>CONTEXT</t>
  </si>
  <si>
    <t>What is the situation/background?</t>
  </si>
  <si>
    <t>A SME client applies for RM 500,000 working capital loan</t>
  </si>
  <si>
    <t>TASK</t>
  </si>
  <si>
    <t>What exactly do you want the AI to do?</t>
  </si>
  <si>
    <t>Assess the credit risk and write a 1-page credit memo</t>
  </si>
  <si>
    <t>FORMAT</t>
  </si>
  <si>
    <t>How should the output be structured?</t>
  </si>
  <si>
    <t>Use headers: Summary, Risk Factors, Recommendation</t>
  </si>
  <si>
    <t>CONSTRAINTS</t>
  </si>
  <si>
    <t>What limits apply? (regulation, tone, length)</t>
  </si>
  <si>
    <t>Follow BNM credit guidelines; keep under 500 words</t>
  </si>
  <si>
    <t>DATA</t>
  </si>
  <si>
    <t>What data is available to include?</t>
  </si>
  <si>
    <t>3-year financials: Revenue RM 2M, Debt RM 800K, DSR 45%</t>
  </si>
  <si>
    <t>📚  15 READY-TO-USE FINANCE PROMPTS (copy, paste &amp; test in ChatGPT/Copilot)</t>
  </si>
  <si>
    <t>#</t>
  </si>
  <si>
    <t>Use Case</t>
  </si>
  <si>
    <t>Prompt Template</t>
  </si>
  <si>
    <t>Module</t>
  </si>
  <si>
    <t>Loan Risk Assessment</t>
  </si>
  <si>
    <t>You are a senior credit analyst. Assess the credit risk of a SME borrower with these financials: [insert data]. Write a risk memo using BNM credit guidelines. Include: Risk Rating, Key Concerns, Recommendation.</t>
  </si>
  <si>
    <t>M2</t>
  </si>
  <si>
    <t>Fraud Alert Explanation</t>
  </si>
  <si>
    <t>Explain in simple language why this transaction was flagged as high-risk: [transaction details]. The explanation will be sent to the customer. Keep it professional and under 100 words.</t>
  </si>
  <si>
    <t>M6</t>
  </si>
  <si>
    <t>Regulatory Summary</t>
  </si>
  <si>
    <t>Summarize the key requirements of BNM's [regulation name] for an AI system deployment in a Malaysian bank. List: What AI must do, What AI must not do, Reporting requirements.</t>
  </si>
  <si>
    <t>M5</t>
  </si>
  <si>
    <t>Investment Research</t>
  </si>
  <si>
    <t>You are an equity analyst. Analyse [company name] listed on Bursa Malaysia. Provide: Business overview, 3 growth catalysts, 3 key risks, Target price rationale. Use available public data.</t>
  </si>
  <si>
    <t>M3</t>
  </si>
  <si>
    <t>Customer Complaint Response</t>
  </si>
  <si>
    <t>Draft a professional email response to a customer who is angry that our AI denied their credit card application. Be empathetic, explain the process, and offer a manual review option.</t>
  </si>
  <si>
    <t>Market Sentiment Summary</t>
  </si>
  <si>
    <t>Summarise the market sentiment for [sector] based on these news headlines: [paste 5 headlines]. Rate overall sentiment as Bullish/Neutral/Bearish and explain your reasoning.</t>
  </si>
  <si>
    <t>Compliance Gap Analysis</t>
  </si>
  <si>
    <t>Compare our current AI governance policy against the MAS FEAT framework. Identify: 3 gaps, 3 quick wins, and recommended remediation timeline.</t>
  </si>
  <si>
    <t>Trading Strategy Explanation</t>
  </si>
  <si>
    <t>Explain this algorithmic trading strategy to a non-technical CFO in under 200 words: [strategy description]. Avoid technical jargon. Focus on business outcomes and risk controls.</t>
  </si>
  <si>
    <t>ESG Risk Assessment</t>
  </si>
  <si>
    <t>Evaluate the ESG risks for this Malaysian company: [company name]. Focus on climate risk, governance issues, and social factors. Rate as Low/Medium/High with justification.</t>
  </si>
  <si>
    <t>M11</t>
  </si>
  <si>
    <t>Board AI Risk Report</t>
  </si>
  <si>
    <t>Draft a 1-page AI risk report for the Board of Directors covering: Current AI systems in use, Top 3 AI risks, Regulatory compliance status, Recommended actions.</t>
  </si>
  <si>
    <t>M9</t>
  </si>
  <si>
    <t>Customer Portfolio Review</t>
  </si>
  <si>
    <t>Review this client's portfolio: [allocation data]. Based on their risk score of [X], identify: Overweighted assets, Underweighted assets, 3 rebalancing recommendations.</t>
  </si>
  <si>
    <t>AML Suspicious Pattern</t>
  </si>
  <si>
    <t>Analyse these 10 transactions and identify any AML red flags: [transaction list]. Classify each as Low/Medium/High risk. Suggest whether to file a SAR report.</t>
  </si>
  <si>
    <t>AI Vendor Evaluation</t>
  </si>
  <si>
    <t>Create an AI vendor evaluation scorecard for selecting a KYC automation vendor. Include 10 criteria covering: Technical capability, Data security, Regulatory compliance, Cost, Support.</t>
  </si>
  <si>
    <t>M8</t>
  </si>
  <si>
    <t>Employee AI Training Plan</t>
  </si>
  <si>
    <t>Design a 2-hour AI literacy workshop for bank branch managers. Include: Learning objectives, 3 activities, Key messages. Assume zero AI background.</t>
  </si>
  <si>
    <t>M10</t>
  </si>
  <si>
    <t>AI ROI Business Case</t>
  </si>
  <si>
    <t>Build a business case for implementing AI-powered customer service chatbot for a Malaysian bank. Include: Cost savings, Revenue impact, Implementation cost, Payback period.</t>
  </si>
  <si>
    <t>CASE STUDY 7: AI INVESTMENT ROI CALCULATOR</t>
  </si>
  <si>
    <t>Module 9 — AI Adoption Roadmap for Finance &amp; Brokerages</t>
  </si>
  <si>
    <t>⚙️  AI PROJECT INPUTS (🔵 Blue = your estimates)</t>
  </si>
  <si>
    <t>Parameter</t>
  </si>
  <si>
    <t>Value</t>
  </si>
  <si>
    <t>── INVESTMENT COSTS ──</t>
  </si>
  <si>
    <t>AI Platform / Vendor License (RM/year)</t>
  </si>
  <si>
    <t>Implementation &amp; Integration Cost (RM)</t>
  </si>
  <si>
    <t>Training &amp; Change Management (RM)</t>
  </si>
  <si>
    <t>Annual Maintenance &amp; Support (RM/year)</t>
  </si>
  <si>
    <t>Internal IT Staff Cost Increase (RM/year)</t>
  </si>
  <si>
    <t>── EXPECTED BENEFITS ──</t>
  </si>
  <si>
    <t>Staff Hours Saved per Year (hours)</t>
  </si>
  <si>
    <t>Average Staff Hourly Cost (RM/hour)</t>
  </si>
  <si>
    <t>Fraud Prevented (RM/year)</t>
  </si>
  <si>
    <t>Compliance Fine Risk Reduction (RM/year)</t>
  </si>
  <si>
    <t>Revenue from Faster Onboarding (RM/year)</t>
  </si>
  <si>
    <t>Customer Retention Improvement (RM/year)</t>
  </si>
  <si>
    <t>── ASSUMPTIONS ──</t>
  </si>
  <si>
    <t>Project Duration (years)</t>
  </si>
  <si>
    <t>Discount Rate (%)</t>
  </si>
  <si>
    <t>Benefit Realisation Ramp-up (Year 1 %)</t>
  </si>
  <si>
    <t>📊  5-YEAR AI INVESTMENT MODEL</t>
  </si>
  <si>
    <t>Item</t>
  </si>
  <si>
    <t>Year 1</t>
  </si>
  <si>
    <t>Year 2</t>
  </si>
  <si>
    <t>Year 3</t>
  </si>
  <si>
    <t>Year 4</t>
  </si>
  <si>
    <t>Year 5</t>
  </si>
  <si>
    <t>── COSTS ──</t>
  </si>
  <si>
    <t>Platform License</t>
  </si>
  <si>
    <t>Implementation (one-time)</t>
  </si>
  <si>
    <t>Training &amp; Change Mgmt</t>
  </si>
  <si>
    <t>Maintenance &amp; Support</t>
  </si>
  <si>
    <t>IT Staff Cost Increase</t>
  </si>
  <si>
    <t>TOTAL COSTS</t>
  </si>
  <si>
    <t>── BENEFITS ──</t>
  </si>
  <si>
    <t>Labour Savings</t>
  </si>
  <si>
    <t>Fraud Prevention</t>
  </si>
  <si>
    <t>Compliance Risk Reduction</t>
  </si>
  <si>
    <t>Revenue Enhancement</t>
  </si>
  <si>
    <t>Customer Retention</t>
  </si>
  <si>
    <t>TOTAL BENEFITS</t>
  </si>
  <si>
    <t>NET BENEFIT / (COST)</t>
  </si>
  <si>
    <t>CUMULATIVE NET BENEFIT</t>
  </si>
  <si>
    <t>DISCOUNTED NET BENEFIT</t>
  </si>
  <si>
    <t>🏆  ROI SUMMARY</t>
  </si>
  <si>
    <t>KPI</t>
  </si>
  <si>
    <t>Formula</t>
  </si>
  <si>
    <t>Result</t>
  </si>
  <si>
    <t>Total 5-Year Investment (RM)</t>
  </si>
  <si>
    <t>Total 5-Year Benefits (RM)</t>
  </si>
  <si>
    <t>NPV (Net Present Value, RM)</t>
  </si>
  <si>
    <t>ROI (%)</t>
  </si>
  <si>
    <t>Payback Period (years)</t>
  </si>
  <si>
    <t>Break-even Year</t>
  </si>
  <si>
    <t>POST-TRAINING ASSESSMENT — GENERATIVE AI FOR FINANCE</t>
  </si>
  <si>
    <t>Name: ____________________   Organization: ____________________   Date: ___________</t>
  </si>
  <si>
    <t>SECTION A: MULTIPLE CHOICE (1 point each)</t>
  </si>
  <si>
    <t>1. What does RAG stand for in the context of AI?</t>
  </si>
  <si>
    <t>A) Rapid AI Generation  B) Retrieval-Augmented Generation  C) Real-time AI Guidance  D) Risk-Adjusted Generation</t>
  </si>
  <si>
    <t>Your Answer: ____</t>
  </si>
  <si>
    <t>[Answer: B]</t>
  </si>
  <si>
    <t>2. Which finance-specific LLM was trained on Bloomberg's financial data?</t>
  </si>
  <si>
    <t>A) GPT-4  B) Llama  C) BloombergGPT  D) Gemini Finance</t>
  </si>
  <si>
    <t>[Answer: C]</t>
  </si>
  <si>
    <t>3. What is the primary purpose of e-KYC AI systems?</t>
  </si>
  <si>
    <t>A) Generate reports  B) Trade stocks  C) Verify customer identity digitally  D) Monitor social media</t>
  </si>
  <si>
    <t>4. Under BNM's TEFAS framework, which principle relates to explainability?</t>
  </si>
  <si>
    <t>A) Transparency  B) Accountability  C) Fairness  D) Ethics</t>
  </si>
  <si>
    <t>[Answer: A]</t>
  </si>
  <si>
    <t>5. Which AI technique is best for detecting money laundering networks?</t>
  </si>
  <si>
    <t>A) Sentiment Analysis  B) Graph Analysis  C) Image Recognition  D) Regression Modelling</t>
  </si>
  <si>
    <t>6. What does 'Build vs Buy' refer to in AI strategy?</t>
  </si>
  <si>
    <t>A) Hardware vs software  B) Developing own AI vs purchasing vendor solutions  C) Cloud vs mobile  D) Manual vs automated testing</t>
  </si>
  <si>
    <t>7. In prompt engineering, what does the ROLE component define?</t>
  </si>
  <si>
    <t>A) The output format  B) The data source  C) Who the AI should behave as  D) The length of response</t>
  </si>
  <si>
    <t>8. What is algorithmic trading?</t>
  </si>
  <si>
    <t>A) Trading using Excel macros  B) Manual trading based on news  C) AI-driven automated trade execution based on rules/signals  D) Blockchain-based trading</t>
  </si>
  <si>
    <t>9. Which regulation specifically addresses AI fairness in Singapore?</t>
  </si>
  <si>
    <t>A) EU AI Act  B) PDPA  C) MAS FEAT  D) BNM TEFAS</t>
  </si>
  <si>
    <t>10. What is a false positive in fraud detection?</t>
  </si>
  <si>
    <t>A) A fraud case that AI missed  B) A legitimate transaction incorrectly flagged as fraud  C) A hacker bypassing AI  D) An AI model error</t>
  </si>
  <si>
    <t>SECTION B: SHORT ANSWER (5 points each)</t>
  </si>
  <si>
    <t>11. Describe ONE real-world use case of GenAI in Malaysian banking and explain its business impact.</t>
  </si>
  <si>
    <t>12. What are THREE key challenges when implementing AI in a financial institution? How can each be addressed?</t>
  </si>
  <si>
    <t>13. Write a strong AI prompt for this task: 'Analyse the quarterly earnings report of a Bursa-listed bank and identify 3 investment risks.'</t>
  </si>
  <si>
    <t>14. Explain the difference between Cloud AI and On-Premise AI for a Malaysian bank. Which would you recommend and why?</t>
  </si>
  <si>
    <t>15. How does GenAI help with regulatory compliance? Give TWO specific examples using Malaysian regulations (BNM or SC).</t>
  </si>
  <si>
    <t>SCORE: _______ / 60</t>
  </si>
  <si>
    <t>Trainer Signature: ________________________   Date: 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</si>
</sst>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33" x14ac:knownFonts="1">
    <font>
      <sz val="11"/>
      <color theme="1"/>
      <name val="Calibri"/>
      <family val="2"/>
      <charset val="1"/>
    </font>
    <font>
      <b/>
      <sz val="20"/>
      <color rgb="FFF4A700"/>
      <name val="Arial"/>
      <family val="2"/>
    </font>
    <font>
      <i/>
      <sz val="13"/>
      <color rgb="FFFFFFFF"/>
      <name val="Arial"/>
      <family val="2"/>
    </font>
    <font>
      <sz val="10"/>
      <color rgb="FFD6E4F7"/>
      <name val="Arial"/>
      <family val="2"/>
    </font>
    <font>
      <b/>
      <sz val="13"/>
      <color rgb="FF1B3A6B"/>
      <name val="Arial"/>
      <family val="2"/>
    </font>
    <font>
      <b/>
      <sz val="10"/>
      <color rgb="FFFFFFFF"/>
      <name val="Arial"/>
      <family val="2"/>
    </font>
    <font>
      <sz val="10"/>
      <color rgb="FF1E293B"/>
      <name val="Arial"/>
      <family val="2"/>
    </font>
    <font>
      <b/>
      <sz val="12"/>
      <color rgb="FF1B3A6B"/>
      <name val="Arial"/>
      <family val="2"/>
    </font>
    <font>
      <i/>
      <sz val="8"/>
      <color rgb="FF888888"/>
      <name val="Arial"/>
      <family val="2"/>
    </font>
    <font>
      <b/>
      <sz val="16"/>
      <color rgb="FFF4A700"/>
      <name val="Arial"/>
      <family val="2"/>
    </font>
    <font>
      <i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1E293B"/>
      <name val="Arial"/>
      <family val="2"/>
    </font>
    <font>
      <sz val="9"/>
      <color rgb="FF1E293B"/>
      <name val="Arial"/>
      <family val="2"/>
    </font>
    <font>
      <sz val="9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1"/>
      <color rgb="FF1B3A6B"/>
      <name val="Arial"/>
      <family val="2"/>
    </font>
    <font>
      <b/>
      <sz val="10"/>
      <color rgb="FF1B3A6B"/>
      <name val="Arial"/>
      <family val="2"/>
    </font>
    <font>
      <sz val="10"/>
      <color rgb="FF0000FF"/>
      <name val="Arial"/>
      <family val="2"/>
    </font>
    <font>
      <b/>
      <sz val="9"/>
      <color rgb="FF1E293B"/>
      <name val="Arial"/>
      <family val="2"/>
    </font>
    <font>
      <b/>
      <sz val="9"/>
      <color rgb="FF0000FF"/>
      <name val="Arial"/>
      <family val="2"/>
    </font>
    <font>
      <sz val="10"/>
      <name val="Arial"/>
      <family val="2"/>
    </font>
    <font>
      <i/>
      <sz val="9"/>
      <color rgb="FF555555"/>
      <name val="Arial"/>
      <family val="2"/>
    </font>
    <font>
      <b/>
      <sz val="9"/>
      <name val="Arial"/>
      <family val="2"/>
    </font>
    <font>
      <b/>
      <sz val="9"/>
      <color rgb="FF2E5FA3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F4A700"/>
      <name val="Arial"/>
      <family val="2"/>
    </font>
    <font>
      <sz val="10"/>
      <color rgb="FFFFFFFF"/>
      <name val="Arial"/>
      <family val="2"/>
    </font>
    <font>
      <sz val="9"/>
      <color rgb="FFFFFFFF"/>
      <name val="Arial"/>
      <family val="2"/>
    </font>
    <font>
      <b/>
      <sz val="14"/>
      <color rgb="FF1B3A6B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1E293B"/>
      </patternFill>
    </fill>
    <fill>
      <patternFill patternType="solid">
        <fgColor rgb="FF2E5FA3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4F7FB"/>
        <bgColor rgb="FFEFF6FF"/>
      </patternFill>
    </fill>
    <fill>
      <patternFill patternType="solid">
        <fgColor rgb="FFFEF3C7"/>
        <bgColor rgb="FFFEE2E2"/>
      </patternFill>
    </fill>
    <fill>
      <patternFill patternType="solid">
        <fgColor rgb="FFF4A700"/>
        <bgColor rgb="FFF79646"/>
      </patternFill>
    </fill>
    <fill>
      <patternFill patternType="solid">
        <fgColor rgb="FFD1FAE5"/>
        <bgColor rgb="FFD6E4F7"/>
      </patternFill>
    </fill>
    <fill>
      <patternFill patternType="solid">
        <fgColor rgb="FFFEE2E2"/>
        <bgColor rgb="FFFEF3C7"/>
      </patternFill>
    </fill>
    <fill>
      <patternFill patternType="solid">
        <fgColor rgb="FFD6E4F7"/>
        <bgColor rgb="FFD9D9D9"/>
      </patternFill>
    </fill>
    <fill>
      <patternFill patternType="solid">
        <fgColor rgb="FFEF4444"/>
        <bgColor rgb="FFC0504D"/>
      </patternFill>
    </fill>
    <fill>
      <patternFill patternType="solid">
        <fgColor rgb="FFF97316"/>
        <bgColor rgb="FFF79646"/>
      </patternFill>
    </fill>
    <fill>
      <patternFill patternType="solid">
        <fgColor rgb="FF10B981"/>
        <bgColor rgb="FF4BACC6"/>
      </patternFill>
    </fill>
    <fill>
      <patternFill patternType="solid">
        <fgColor rgb="FFEFF6FF"/>
        <bgColor rgb="FFF4F7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/>
    <xf numFmtId="3" fontId="14" fillId="4" borderId="1" xfId="0" applyNumberFormat="1" applyFont="1" applyFill="1" applyBorder="1"/>
    <xf numFmtId="0" fontId="14" fillId="4" borderId="1" xfId="0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/>
    <xf numFmtId="3" fontId="14" fillId="5" borderId="1" xfId="0" applyNumberFormat="1" applyFont="1" applyFill="1" applyBorder="1"/>
    <xf numFmtId="0" fontId="14" fillId="5" borderId="1" xfId="0" applyFont="1" applyFill="1" applyBorder="1" applyAlignment="1">
      <alignment horizontal="center"/>
    </xf>
    <xf numFmtId="0" fontId="12" fillId="8" borderId="1" xfId="0" applyFont="1" applyFill="1" applyBorder="1"/>
    <xf numFmtId="1" fontId="15" fillId="8" borderId="1" xfId="0" applyNumberFormat="1" applyFont="1" applyFill="1" applyBorder="1" applyAlignment="1">
      <alignment horizontal="right" vertical="center"/>
    </xf>
    <xf numFmtId="164" fontId="15" fillId="8" borderId="1" xfId="0" applyNumberFormat="1" applyFont="1" applyFill="1" applyBorder="1" applyAlignment="1">
      <alignment horizontal="right" vertical="center"/>
    </xf>
    <xf numFmtId="3" fontId="15" fillId="8" borderId="1" xfId="0" applyNumberFormat="1" applyFont="1" applyFill="1" applyBorder="1" applyAlignment="1">
      <alignment horizontal="right" vertical="center"/>
    </xf>
    <xf numFmtId="0" fontId="12" fillId="6" borderId="1" xfId="0" applyFont="1" applyFill="1" applyBorder="1"/>
    <xf numFmtId="1" fontId="15" fillId="6" borderId="1" xfId="0" applyNumberFormat="1" applyFont="1" applyFill="1" applyBorder="1" applyAlignment="1">
      <alignment horizontal="right" vertical="center"/>
    </xf>
    <xf numFmtId="164" fontId="15" fillId="6" borderId="1" xfId="0" applyNumberFormat="1" applyFont="1" applyFill="1" applyBorder="1" applyAlignment="1">
      <alignment horizontal="right" vertical="center"/>
    </xf>
    <xf numFmtId="3" fontId="15" fillId="6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/>
    <xf numFmtId="1" fontId="15" fillId="9" borderId="1" xfId="0" applyNumberFormat="1" applyFont="1" applyFill="1" applyBorder="1" applyAlignment="1">
      <alignment horizontal="right" vertical="center"/>
    </xf>
    <xf numFmtId="164" fontId="15" fillId="9" borderId="1" xfId="0" applyNumberFormat="1" applyFont="1" applyFill="1" applyBorder="1" applyAlignment="1">
      <alignment horizontal="right" vertical="center"/>
    </xf>
    <xf numFmtId="3" fontId="15" fillId="9" borderId="1" xfId="0" applyNumberFormat="1" applyFont="1" applyFill="1" applyBorder="1" applyAlignment="1">
      <alignment horizontal="right" vertical="center"/>
    </xf>
    <xf numFmtId="0" fontId="16" fillId="10" borderId="1" xfId="0" applyFont="1" applyFill="1" applyBorder="1"/>
    <xf numFmtId="1" fontId="17" fillId="10" borderId="1" xfId="0" applyNumberFormat="1" applyFont="1" applyFill="1" applyBorder="1" applyAlignment="1">
      <alignment horizontal="right" vertical="center"/>
    </xf>
    <xf numFmtId="3" fontId="17" fillId="10" borderId="1" xfId="0" applyNumberFormat="1" applyFont="1" applyFill="1" applyBorder="1" applyAlignment="1">
      <alignment horizontal="right" vertical="center"/>
    </xf>
    <xf numFmtId="3" fontId="17" fillId="8" borderId="1" xfId="0" applyNumberFormat="1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left" vertical="center" wrapText="1"/>
    </xf>
    <xf numFmtId="3" fontId="20" fillId="4" borderId="1" xfId="0" applyNumberFormat="1" applyFont="1" applyFill="1" applyBorder="1" applyAlignment="1">
      <alignment horizontal="right" vertical="center"/>
    </xf>
    <xf numFmtId="164" fontId="20" fillId="4" borderId="1" xfId="0" applyNumberFormat="1" applyFont="1" applyFill="1" applyBorder="1" applyAlignment="1">
      <alignment horizontal="right" vertical="center"/>
    </xf>
    <xf numFmtId="0" fontId="21" fillId="4" borderId="1" xfId="0" applyFont="1" applyFill="1" applyBorder="1"/>
    <xf numFmtId="165" fontId="20" fillId="4" borderId="1" xfId="0" applyNumberFormat="1" applyFont="1" applyFill="1" applyBorder="1" applyAlignment="1">
      <alignment horizontal="right" vertical="center"/>
    </xf>
    <xf numFmtId="10" fontId="15" fillId="4" borderId="1" xfId="0" applyNumberFormat="1" applyFont="1" applyFill="1" applyBorder="1" applyAlignment="1">
      <alignment horizontal="right" vertical="center"/>
    </xf>
    <xf numFmtId="0" fontId="22" fillId="4" borderId="1" xfId="0" applyFont="1" applyFill="1" applyBorder="1" applyAlignment="1">
      <alignment horizontal="center"/>
    </xf>
    <xf numFmtId="0" fontId="21" fillId="5" borderId="1" xfId="0" applyFont="1" applyFill="1" applyBorder="1"/>
    <xf numFmtId="165" fontId="20" fillId="5" borderId="1" xfId="0" applyNumberFormat="1" applyFont="1" applyFill="1" applyBorder="1" applyAlignment="1">
      <alignment horizontal="right" vertical="center"/>
    </xf>
    <xf numFmtId="10" fontId="15" fillId="5" borderId="1" xfId="0" applyNumberFormat="1" applyFont="1" applyFill="1" applyBorder="1" applyAlignment="1">
      <alignment horizontal="right" vertical="center"/>
    </xf>
    <xf numFmtId="0" fontId="22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center"/>
    </xf>
    <xf numFmtId="3" fontId="15" fillId="5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10" fontId="17" fillId="8" borderId="1" xfId="0" applyNumberFormat="1" applyFont="1" applyFill="1" applyBorder="1" applyAlignment="1">
      <alignment horizontal="right" vertical="center"/>
    </xf>
    <xf numFmtId="1" fontId="17" fillId="8" borderId="1" xfId="0" applyNumberFormat="1" applyFont="1" applyFill="1" applyBorder="1" applyAlignment="1">
      <alignment horizontal="right" vertical="center"/>
    </xf>
    <xf numFmtId="1" fontId="15" fillId="5" borderId="1" xfId="0" applyNumberFormat="1" applyFont="1" applyFill="1" applyBorder="1" applyAlignment="1">
      <alignment horizontal="right" vertical="center"/>
    </xf>
    <xf numFmtId="0" fontId="23" fillId="0" borderId="1" xfId="0" applyFont="1" applyBorder="1"/>
    <xf numFmtId="165" fontId="15" fillId="5" borderId="1" xfId="0" applyNumberFormat="1" applyFont="1" applyFill="1" applyBorder="1" applyAlignment="1">
      <alignment horizontal="right" vertical="center"/>
    </xf>
    <xf numFmtId="164" fontId="15" fillId="5" borderId="1" xfId="0" applyNumberFormat="1" applyFont="1" applyFill="1" applyBorder="1" applyAlignment="1">
      <alignment horizontal="right" vertical="center"/>
    </xf>
    <xf numFmtId="3" fontId="20" fillId="5" borderId="1" xfId="0" applyNumberFormat="1" applyFont="1" applyFill="1" applyBorder="1" applyAlignment="1">
      <alignment horizontal="right" vertical="center"/>
    </xf>
    <xf numFmtId="0" fontId="24" fillId="5" borderId="1" xfId="0" applyFont="1" applyFill="1" applyBorder="1"/>
    <xf numFmtId="164" fontId="15" fillId="4" borderId="1" xfId="0" applyNumberFormat="1" applyFont="1" applyFill="1" applyBorder="1" applyAlignment="1">
      <alignment horizontal="right" vertical="center"/>
    </xf>
    <xf numFmtId="0" fontId="24" fillId="4" borderId="1" xfId="0" applyFont="1" applyFill="1" applyBorder="1"/>
    <xf numFmtId="164" fontId="20" fillId="5" borderId="1" xfId="0" applyNumberFormat="1" applyFont="1" applyFill="1" applyBorder="1" applyAlignment="1">
      <alignment horizontal="right" vertical="center"/>
    </xf>
    <xf numFmtId="165" fontId="15" fillId="4" borderId="1" xfId="0" applyNumberFormat="1" applyFont="1" applyFill="1" applyBorder="1" applyAlignment="1">
      <alignment horizontal="right" vertical="center"/>
    </xf>
    <xf numFmtId="0" fontId="25" fillId="4" borderId="1" xfId="0" applyFont="1" applyFill="1" applyBorder="1"/>
    <xf numFmtId="0" fontId="25" fillId="5" borderId="1" xfId="0" applyFont="1" applyFill="1" applyBorder="1"/>
    <xf numFmtId="164" fontId="17" fillId="10" borderId="1" xfId="0" applyNumberFormat="1" applyFont="1" applyFill="1" applyBorder="1" applyAlignment="1">
      <alignment horizontal="right" vertical="center"/>
    </xf>
    <xf numFmtId="0" fontId="26" fillId="5" borderId="1" xfId="0" applyFont="1" applyFill="1" applyBorder="1"/>
    <xf numFmtId="0" fontId="27" fillId="11" borderId="1" xfId="0" applyFont="1" applyFill="1" applyBorder="1" applyAlignment="1">
      <alignment horizontal="center"/>
    </xf>
    <xf numFmtId="0" fontId="28" fillId="5" borderId="1" xfId="0" applyFont="1" applyFill="1" applyBorder="1"/>
    <xf numFmtId="9" fontId="20" fillId="5" borderId="1" xfId="0" applyNumberFormat="1" applyFont="1" applyFill="1" applyBorder="1" applyAlignment="1">
      <alignment horizontal="center" vertical="center"/>
    </xf>
    <xf numFmtId="9" fontId="15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wrapText="1"/>
    </xf>
    <xf numFmtId="0" fontId="26" fillId="4" borderId="1" xfId="0" applyFont="1" applyFill="1" applyBorder="1"/>
    <xf numFmtId="0" fontId="28" fillId="4" borderId="1" xfId="0" applyFont="1" applyFill="1" applyBorder="1"/>
    <xf numFmtId="9" fontId="20" fillId="4" borderId="1" xfId="0" applyNumberFormat="1" applyFont="1" applyFill="1" applyBorder="1" applyAlignment="1">
      <alignment horizontal="center" vertical="center"/>
    </xf>
    <xf numFmtId="9" fontId="15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wrapText="1"/>
    </xf>
    <xf numFmtId="0" fontId="27" fillId="12" borderId="1" xfId="0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left" vertical="center" wrapText="1"/>
    </xf>
    <xf numFmtId="9" fontId="15" fillId="9" borderId="1" xfId="0" applyNumberFormat="1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left" vertical="center" wrapText="1"/>
    </xf>
    <xf numFmtId="9" fontId="15" fillId="6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left" vertical="center" wrapText="1"/>
    </xf>
    <xf numFmtId="9" fontId="15" fillId="8" borderId="1" xfId="0" applyNumberFormat="1" applyFont="1" applyFill="1" applyBorder="1" applyAlignment="1">
      <alignment horizontal="right" vertical="center"/>
    </xf>
    <xf numFmtId="1" fontId="15" fillId="4" borderId="1" xfId="0" applyNumberFormat="1" applyFont="1" applyFill="1" applyBorder="1" applyAlignment="1">
      <alignment horizontal="right" vertical="center"/>
    </xf>
    <xf numFmtId="9" fontId="15" fillId="4" borderId="1" xfId="0" applyNumberFormat="1" applyFont="1" applyFill="1" applyBorder="1" applyAlignment="1">
      <alignment horizontal="right" vertical="center"/>
    </xf>
    <xf numFmtId="9" fontId="17" fillId="10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/>
    <xf numFmtId="0" fontId="20" fillId="5" borderId="1" xfId="0" applyFont="1" applyFill="1" applyBorder="1" applyAlignment="1">
      <alignment horizontal="right" vertical="center"/>
    </xf>
    <xf numFmtId="0" fontId="20" fillId="4" borderId="1" xfId="0" applyFont="1" applyFill="1" applyBorder="1" applyAlignment="1">
      <alignment horizontal="right" vertical="center"/>
    </xf>
    <xf numFmtId="9" fontId="15" fillId="5" borderId="1" xfId="0" applyNumberFormat="1" applyFont="1" applyFill="1" applyBorder="1" applyAlignment="1">
      <alignment horizontal="right" vertical="center"/>
    </xf>
    <xf numFmtId="164" fontId="17" fillId="8" borderId="1" xfId="0" applyNumberFormat="1" applyFont="1" applyFill="1" applyBorder="1" applyAlignment="1">
      <alignment horizontal="right" vertical="center"/>
    </xf>
    <xf numFmtId="10" fontId="17" fillId="10" borderId="1" xfId="0" applyNumberFormat="1" applyFont="1" applyFill="1" applyBorder="1" applyAlignment="1">
      <alignment horizontal="right" vertical="center"/>
    </xf>
    <xf numFmtId="0" fontId="17" fillId="6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vertical="top" wrapText="1"/>
    </xf>
    <xf numFmtId="0" fontId="24" fillId="8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19" fillId="5" borderId="1" xfId="0" applyFont="1" applyFill="1" applyBorder="1"/>
    <xf numFmtId="0" fontId="13" fillId="5" borderId="1" xfId="0" applyFont="1" applyFill="1" applyBorder="1" applyAlignment="1">
      <alignment vertical="top" wrapText="1"/>
    </xf>
    <xf numFmtId="0" fontId="19" fillId="4" borderId="1" xfId="0" applyFont="1" applyFill="1" applyBorder="1"/>
    <xf numFmtId="0" fontId="13" fillId="4" borderId="1" xfId="0" applyFont="1" applyFill="1" applyBorder="1" applyAlignment="1">
      <alignment vertical="top" wrapText="1"/>
    </xf>
    <xf numFmtId="9" fontId="20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/>
    <xf numFmtId="0" fontId="6" fillId="5" borderId="1" xfId="0" applyFont="1" applyFill="1" applyBorder="1"/>
    <xf numFmtId="0" fontId="12" fillId="10" borderId="1" xfId="0" applyFont="1" applyFill="1" applyBorder="1"/>
    <xf numFmtId="3" fontId="17" fillId="9" borderId="1" xfId="0" applyNumberFormat="1" applyFont="1" applyFill="1" applyBorder="1" applyAlignment="1">
      <alignment horizontal="right" vertical="center"/>
    </xf>
    <xf numFmtId="0" fontId="24" fillId="8" borderId="1" xfId="0" applyFont="1" applyFill="1" applyBorder="1"/>
    <xf numFmtId="166" fontId="17" fillId="8" borderId="1" xfId="0" applyNumberFormat="1" applyFont="1" applyFill="1" applyBorder="1" applyAlignment="1">
      <alignment horizontal="right" vertical="center"/>
    </xf>
    <xf numFmtId="0" fontId="20" fillId="4" borderId="0" xfId="0" applyFont="1" applyFill="1"/>
    <xf numFmtId="0" fontId="31" fillId="4" borderId="0" xfId="0" applyFont="1" applyFill="1"/>
    <xf numFmtId="0" fontId="6" fillId="6" borderId="0" xfId="0" applyFont="1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7" fillId="0" borderId="0" xfId="0" applyFont="1"/>
    <xf numFmtId="0" fontId="19" fillId="10" borderId="0" xfId="0" applyFont="1" applyFill="1"/>
    <xf numFmtId="0" fontId="14" fillId="4" borderId="0" xfId="0" applyFont="1" applyFill="1"/>
    <xf numFmtId="0" fontId="18" fillId="0" borderId="0" xfId="0" applyFont="1"/>
    <xf numFmtId="0" fontId="11" fillId="3" borderId="0" xfId="0" applyFont="1" applyFill="1" applyAlignment="1">
      <alignment horizontal="left" vertical="center"/>
    </xf>
    <xf numFmtId="0" fontId="12" fillId="4" borderId="0" xfId="0" applyFont="1" applyFill="1"/>
    <xf numFmtId="0" fontId="12" fillId="6" borderId="0" xfId="0" applyFont="1" applyFill="1"/>
    <xf numFmtId="0" fontId="11" fillId="2" borderId="0" xfId="0" applyFont="1" applyFill="1" applyAlignment="1">
      <alignment horizontal="left" vertical="center"/>
    </xf>
    <xf numFmtId="0" fontId="6" fillId="5" borderId="0" xfId="0" applyFont="1" applyFill="1"/>
    <xf numFmtId="0" fontId="7" fillId="7" borderId="0" xfId="0" applyFont="1" applyFill="1" applyAlignment="1">
      <alignment horizontal="left" vertical="center"/>
    </xf>
    <xf numFmtId="0" fontId="9" fillId="2" borderId="0" xfId="0" applyFont="1" applyFill="1"/>
    <xf numFmtId="0" fontId="10" fillId="2" borderId="0" xfId="0" applyFont="1" applyFill="1"/>
    <xf numFmtId="0" fontId="12" fillId="10" borderId="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wrapText="1"/>
    </xf>
    <xf numFmtId="0" fontId="23" fillId="5" borderId="0" xfId="0" applyFont="1" applyFill="1" applyAlignment="1">
      <alignment wrapText="1"/>
    </xf>
    <xf numFmtId="0" fontId="4" fillId="7" borderId="0" xfId="0" applyFont="1" applyFill="1"/>
    <xf numFmtId="0" fontId="5" fillId="3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3" fillId="0" borderId="0" xfId="0" applyFont="1"/>
    <xf numFmtId="0" fontId="20" fillId="4" borderId="1" xfId="0" applyFont="1" applyFill="1" applyBorder="1"/>
    <xf numFmtId="0" fontId="32" fillId="7" borderId="0" xfId="0" applyFont="1" applyFill="1"/>
    <xf numFmtId="0" fontId="13" fillId="5" borderId="0" xfId="0" applyFont="1" applyFill="1" applyAlignment="1">
      <alignment wrapText="1"/>
    </xf>
    <xf numFmtId="0" fontId="29" fillId="2" borderId="0" xfId="0" applyFont="1" applyFill="1"/>
    <xf numFmtId="0" fontId="3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EF3C7"/>
      <rgbColor rgb="FFEFF6FF"/>
      <rgbColor rgb="FF660066"/>
      <rgbColor rgb="FFF79646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1FAE5"/>
      <rgbColor rgb="FFF9F9F9"/>
      <rgbColor rgb="FFF4F7FB"/>
      <rgbColor rgb="FFFF99CC"/>
      <rgbColor rgb="FFCC99FF"/>
      <rgbColor rgb="FFFEE2E2"/>
      <rgbColor rgb="FF4F81BD"/>
      <rgbColor rgb="FF4BACC6"/>
      <rgbColor rgb="FF9BBB59"/>
      <rgbColor rgb="FFFFCC00"/>
      <rgbColor rgb="FFF4A700"/>
      <rgbColor rgb="FFF97316"/>
      <rgbColor rgb="FF8064A2"/>
      <rgbColor rgb="FF888888"/>
      <rgbColor rgb="FF1B3A6B"/>
      <rgbColor rgb="FF10B981"/>
      <rgbColor rgb="FF003300"/>
      <rgbColor rgb="FF333300"/>
      <rgbColor rgb="FFC0392B"/>
      <rgbColor rgb="FFEF4444"/>
      <rgbColor rgb="FF5555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AI Strategy vs Buy &amp; Hold — Cumulative Return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CS2 — Trading AI'!$K$17</c:f>
              <c:strCache>
                <c:ptCount val="1"/>
                <c:pt idx="0">
                  <c:v>Cumulative AI Return</c:v>
                </c:pt>
              </c:strCache>
            </c:strRef>
          </c:tx>
          <c:spPr>
            <a:ln w="24840">
              <a:solidFill>
                <a:srgbClr val="F4A7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'📈 CS2 — Trading AI'!$K$18:$K$41</c:f>
              <c:numCache>
                <c:formatCode>0.00%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-3.0000000000000001E-3</c:v>
                </c:pt>
                <c:pt idx="3">
                  <c:v>1.4014212578616425E-2</c:v>
                </c:pt>
                <c:pt idx="4">
                  <c:v>1.4014212578616425E-2</c:v>
                </c:pt>
                <c:pt idx="5">
                  <c:v>2.7842533716161123E-2</c:v>
                </c:pt>
                <c:pt idx="6">
                  <c:v>2.4759006115012597E-2</c:v>
                </c:pt>
                <c:pt idx="7">
                  <c:v>3.9235141621027286E-2</c:v>
                </c:pt>
                <c:pt idx="8">
                  <c:v>3.9235141621027286E-2</c:v>
                </c:pt>
                <c:pt idx="9">
                  <c:v>4.6032435585601196E-2</c:v>
                </c:pt>
                <c:pt idx="10">
                  <c:v>4.6032435585601196E-2</c:v>
                </c:pt>
                <c:pt idx="11">
                  <c:v>5.4543363809295989E-2</c:v>
                </c:pt>
                <c:pt idx="12">
                  <c:v>5.1379733717868074E-2</c:v>
                </c:pt>
                <c:pt idx="13">
                  <c:v>3.7835020110426415E-2</c:v>
                </c:pt>
                <c:pt idx="14">
                  <c:v>3.7835020110426415E-2</c:v>
                </c:pt>
                <c:pt idx="15">
                  <c:v>4.4918770560733685E-2</c:v>
                </c:pt>
                <c:pt idx="16">
                  <c:v>4.4918770560733685E-2</c:v>
                </c:pt>
                <c:pt idx="17">
                  <c:v>4.1784014249051545E-2</c:v>
                </c:pt>
                <c:pt idx="18">
                  <c:v>2.5748780529163923E-2</c:v>
                </c:pt>
                <c:pt idx="19">
                  <c:v>2.5748780529163923E-2</c:v>
                </c:pt>
                <c:pt idx="20">
                  <c:v>3.1372653309989257E-2</c:v>
                </c:pt>
                <c:pt idx="21">
                  <c:v>3.1372653309989257E-2</c:v>
                </c:pt>
                <c:pt idx="22">
                  <c:v>3.7459593701399133E-2</c:v>
                </c:pt>
                <c:pt idx="23">
                  <c:v>3.7459593701399133E-2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A4-4DED-A22D-0C771108C111}"/>
            </c:ext>
          </c:extLst>
        </c:ser>
        <c:ser>
          <c:idx val="1"/>
          <c:order val="1"/>
          <c:tx>
            <c:strRef>
              <c:f>'📈 CS2 — Trading AI'!$L$17</c:f>
              <c:strCache>
                <c:ptCount val="1"/>
                <c:pt idx="0">
                  <c:v>Cumulative B&amp;H Return</c:v>
                </c:pt>
              </c:strCache>
            </c:strRef>
          </c:tx>
          <c:spPr>
            <a:ln w="20160">
              <a:solidFill>
                <a:srgbClr val="2E5FA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'📈 CS2 — Trading AI'!$L$18:$L$41</c:f>
              <c:numCache>
                <c:formatCode>0.00%</c:formatCode>
                <c:ptCount val="24"/>
                <c:pt idx="0">
                  <c:v>0</c:v>
                </c:pt>
                <c:pt idx="1">
                  <c:v>1.5822784810126615E-2</c:v>
                </c:pt>
                <c:pt idx="2">
                  <c:v>6.3291139240506163E-3</c:v>
                </c:pt>
                <c:pt idx="3">
                  <c:v>2.6582278481012616E-2</c:v>
                </c:pt>
                <c:pt idx="4">
                  <c:v>2.4050632911392315E-2</c:v>
                </c:pt>
                <c:pt idx="5">
                  <c:v>4.1139240506329076E-2</c:v>
                </c:pt>
                <c:pt idx="6">
                  <c:v>3.1645569620253083E-2</c:v>
                </c:pt>
                <c:pt idx="7">
                  <c:v>4.9367088607594777E-2</c:v>
                </c:pt>
                <c:pt idx="8">
                  <c:v>5.8227848101265557E-2</c:v>
                </c:pt>
                <c:pt idx="9">
                  <c:v>6.8354430379746631E-2</c:v>
                </c:pt>
                <c:pt idx="10">
                  <c:v>7.658227848101247E-2</c:v>
                </c:pt>
                <c:pt idx="11">
                  <c:v>8.8607594936708778E-2</c:v>
                </c:pt>
                <c:pt idx="12">
                  <c:v>8.5443037974683389E-2</c:v>
                </c:pt>
                <c:pt idx="13">
                  <c:v>7.4683544303797242E-2</c:v>
                </c:pt>
                <c:pt idx="14">
                  <c:v>9.1772151898733861E-2</c:v>
                </c:pt>
                <c:pt idx="15">
                  <c:v>0.10253164556961987</c:v>
                </c:pt>
                <c:pt idx="16">
                  <c:v>0.11139240506329065</c:v>
                </c:pt>
                <c:pt idx="17">
                  <c:v>0.12025316455696157</c:v>
                </c:pt>
                <c:pt idx="18">
                  <c:v>0.10632911392405019</c:v>
                </c:pt>
                <c:pt idx="19">
                  <c:v>0.11582278481012603</c:v>
                </c:pt>
                <c:pt idx="20">
                  <c:v>0.12531645569620203</c:v>
                </c:pt>
                <c:pt idx="21">
                  <c:v>0.13417721518987294</c:v>
                </c:pt>
                <c:pt idx="22">
                  <c:v>0.14430379746835387</c:v>
                </c:pt>
                <c:pt idx="23">
                  <c:v>0.15506329113923989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A4-4DED-A22D-0C771108C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482073"/>
        <c:axId val="79344800"/>
      </c:lineChart>
      <c:catAx>
        <c:axId val="614820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44800"/>
        <c:crosses val="autoZero"/>
        <c:auto val="1"/>
        <c:lblAlgn val="ctr"/>
        <c:lblOffset val="100"/>
        <c:noMultiLvlLbl val="0"/>
      </c:catAx>
      <c:valAx>
        <c:axId val="79344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Cumulative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820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KYC Volume: Manual vs AI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'🪪 CS3 — KYC Dashboard'!$C$23</c:f>
              <c:strCache>
                <c:ptCount val="1"/>
                <c:pt idx="0">
                  <c:v>Manual KYC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'🪪 CS3 — KYC Dashboard'!$B$24:$B$35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'🪪 CS3 — KYC Dashboard'!$C$24:$C$35</c:f>
              <c:numCache>
                <c:formatCode>#,##0</c:formatCode>
                <c:ptCount val="12"/>
                <c:pt idx="0">
                  <c:v>320</c:v>
                </c:pt>
                <c:pt idx="1">
                  <c:v>298</c:v>
                </c:pt>
                <c:pt idx="2">
                  <c:v>312</c:v>
                </c:pt>
                <c:pt idx="3">
                  <c:v>285</c:v>
                </c:pt>
                <c:pt idx="4">
                  <c:v>240</c:v>
                </c:pt>
                <c:pt idx="5">
                  <c:v>190</c:v>
                </c:pt>
                <c:pt idx="6">
                  <c:v>150</c:v>
                </c:pt>
                <c:pt idx="7">
                  <c:v>100</c:v>
                </c:pt>
                <c:pt idx="8">
                  <c:v>80</c:v>
                </c:pt>
                <c:pt idx="9">
                  <c:v>60</c:v>
                </c:pt>
                <c:pt idx="10">
                  <c:v>40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D-4A51-8DBF-5D0A257300F6}"/>
            </c:ext>
          </c:extLst>
        </c:ser>
        <c:ser>
          <c:idx val="1"/>
          <c:order val="1"/>
          <c:tx>
            <c:strRef>
              <c:f>'🪪 CS3 — KYC Dashboard'!$D$23</c:f>
              <c:strCache>
                <c:ptCount val="1"/>
                <c:pt idx="0">
                  <c:v>AI e-KYC</c:v>
                </c:pt>
              </c:strCache>
            </c:strRef>
          </c:tx>
          <c:spPr>
            <a:solidFill>
              <a:srgbClr val="10B98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'🪪 CS3 — KYC Dashboard'!$B$24:$B$35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'🪪 CS3 — KYC Dashboard'!$D$24:$D$35</c:f>
              <c:numCache>
                <c:formatCode>#,##0</c:formatCode>
                <c:ptCount val="12"/>
                <c:pt idx="0">
                  <c:v>50</c:v>
                </c:pt>
                <c:pt idx="1">
                  <c:v>120</c:v>
                </c:pt>
                <c:pt idx="2">
                  <c:v>180</c:v>
                </c:pt>
                <c:pt idx="3">
                  <c:v>250</c:v>
                </c:pt>
                <c:pt idx="4">
                  <c:v>310</c:v>
                </c:pt>
                <c:pt idx="5">
                  <c:v>380</c:v>
                </c:pt>
                <c:pt idx="6">
                  <c:v>450</c:v>
                </c:pt>
                <c:pt idx="7">
                  <c:v>520</c:v>
                </c:pt>
                <c:pt idx="8">
                  <c:v>580</c:v>
                </c:pt>
                <c:pt idx="9">
                  <c:v>640</c:v>
                </c:pt>
                <c:pt idx="10">
                  <c:v>700</c:v>
                </c:pt>
                <c:pt idx="11">
                  <c:v>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D-4A51-8DBF-5D0A2573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444379"/>
        <c:axId val="35672281"/>
      </c:barChart>
      <c:catAx>
        <c:axId val="814443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72281"/>
        <c:crosses val="autoZero"/>
        <c:auto val="1"/>
        <c:lblAlgn val="ctr"/>
        <c:lblOffset val="100"/>
        <c:noMultiLvlLbl val="0"/>
      </c:catAx>
      <c:valAx>
        <c:axId val="35672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44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AI Portfolio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'💰 CS5 — Robo-Advisor'!$C$17</c:f>
              <c:strCache>
                <c:ptCount val="1"/>
                <c:pt idx="0">
                  <c:v>Allocation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A66-405B-9A15-8E19452E899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A66-405B-9A15-8E19452E899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A66-405B-9A15-8E19452E899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A66-405B-9A15-8E19452E899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A66-405B-9A15-8E19452E8997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BA66-405B-9A15-8E19452E899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66-405B-9A15-8E19452E899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66-405B-9A15-8E19452E899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66-405B-9A15-8E19452E899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66-405B-9A15-8E19452E899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66-405B-9A15-8E19452E899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66-405B-9A15-8E19452E89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'💰 CS5 — Robo-Advisor'!$B$18:$B$23</c:f>
              <c:strCache>
                <c:ptCount val="6"/>
                <c:pt idx="0">
                  <c:v>Malaysian Equities (Bursa)</c:v>
                </c:pt>
                <c:pt idx="1">
                  <c:v>Global Equities (ETF)</c:v>
                </c:pt>
                <c:pt idx="2">
                  <c:v>Malaysian Bonds (MGS)</c:v>
                </c:pt>
                <c:pt idx="3">
                  <c:v>REITs (M-REITs)</c:v>
                </c:pt>
                <c:pt idx="4">
                  <c:v>Gold / Commodities</c:v>
                </c:pt>
                <c:pt idx="5">
                  <c:v>Cash / Money Market</c:v>
                </c:pt>
              </c:strCache>
            </c:strRef>
          </c:cat>
          <c:val>
            <c:numRef>
              <c:f>'💰 CS5 — Robo-Advisor'!$C$18:$C$23</c:f>
              <c:numCache>
                <c:formatCode>0%</c:formatCode>
                <c:ptCount val="6"/>
                <c:pt idx="0">
                  <c:v>0.35</c:v>
                </c:pt>
                <c:pt idx="1">
                  <c:v>0.21</c:v>
                </c:pt>
                <c:pt idx="2">
                  <c:v>0.12</c:v>
                </c:pt>
                <c:pt idx="3">
                  <c:v>0.1</c:v>
                </c:pt>
                <c:pt idx="4">
                  <c:v>0.05</c:v>
                </c:pt>
                <c:pt idx="5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66-405B-9A15-8E19452E8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</xdr:row>
      <xdr:rowOff>160320</xdr:rowOff>
    </xdr:from>
    <xdr:to>
      <xdr:col>8</xdr:col>
      <xdr:colOff>664740</xdr:colOff>
      <xdr:row>87</xdr:row>
      <xdr:rowOff>18720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40</xdr:row>
      <xdr:rowOff>16680</xdr:rowOff>
    </xdr:from>
    <xdr:to>
      <xdr:col>6</xdr:col>
      <xdr:colOff>607920</xdr:colOff>
      <xdr:row>61</xdr:row>
      <xdr:rowOff>21360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937260</xdr:colOff>
      <xdr:row>26</xdr:row>
      <xdr:rowOff>187920</xdr:rowOff>
    </xdr:from>
    <xdr:to>
      <xdr:col>10</xdr:col>
      <xdr:colOff>463500</xdr:colOff>
      <xdr:row>45</xdr:row>
      <xdr:rowOff>101100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65" customWidth="1"/>
  </cols>
  <sheetData>
    <row r="1" spans="1:19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" customHeight="1" x14ac:dyDescent="0.4">
      <c r="A2" s="1"/>
      <c r="B2" s="110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"/>
      <c r="R2" s="1"/>
      <c r="S2" s="1"/>
    </row>
    <row r="3" spans="1:19" ht="9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 customHeight="1" x14ac:dyDescent="0.35">
      <c r="A4" s="1"/>
      <c r="B4" s="111" t="s">
        <v>1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"/>
      <c r="R4" s="1"/>
      <c r="S4" s="1"/>
    </row>
    <row r="5" spans="1:19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 customHeight="1" x14ac:dyDescent="0.3">
      <c r="A6" s="1"/>
      <c r="B6" s="112" t="s">
        <v>2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"/>
      <c r="R6" s="1"/>
      <c r="S6" s="1"/>
    </row>
    <row r="7" spans="1:19" ht="1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9" spans="1:19" ht="19.5" customHeight="1" x14ac:dyDescent="0.3">
      <c r="B9" s="113" t="s">
        <v>3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1:19" ht="15" customHeight="1" x14ac:dyDescent="0.3">
      <c r="B10" s="2" t="s">
        <v>4</v>
      </c>
      <c r="C10" s="2" t="s">
        <v>5</v>
      </c>
    </row>
    <row r="11" spans="1:19" ht="15" customHeight="1" x14ac:dyDescent="0.3">
      <c r="B11" s="3" t="s">
        <v>6</v>
      </c>
      <c r="C11" s="3" t="s">
        <v>7</v>
      </c>
    </row>
    <row r="12" spans="1:19" ht="15" customHeight="1" x14ac:dyDescent="0.3">
      <c r="B12" s="4" t="s">
        <v>8</v>
      </c>
      <c r="C12" s="4" t="s">
        <v>9</v>
      </c>
    </row>
    <row r="13" spans="1:19" ht="15" customHeight="1" x14ac:dyDescent="0.3">
      <c r="B13" s="3" t="s">
        <v>10</v>
      </c>
      <c r="C13" s="3" t="s">
        <v>11</v>
      </c>
    </row>
    <row r="14" spans="1:19" ht="15" customHeight="1" x14ac:dyDescent="0.3">
      <c r="B14" s="4" t="s">
        <v>12</v>
      </c>
      <c r="C14" s="4" t="s">
        <v>13</v>
      </c>
    </row>
    <row r="15" spans="1:19" ht="15" customHeight="1" x14ac:dyDescent="0.3">
      <c r="B15" s="3" t="s">
        <v>14</v>
      </c>
      <c r="C15" s="3" t="s">
        <v>15</v>
      </c>
    </row>
    <row r="16" spans="1:19" ht="15" customHeight="1" x14ac:dyDescent="0.3">
      <c r="B16" s="4" t="s">
        <v>16</v>
      </c>
      <c r="C16" s="4" t="s">
        <v>17</v>
      </c>
    </row>
    <row r="17" spans="2:14" ht="15" customHeight="1" x14ac:dyDescent="0.3">
      <c r="B17" s="3" t="s">
        <v>18</v>
      </c>
      <c r="C17" s="3" t="s">
        <v>19</v>
      </c>
    </row>
    <row r="18" spans="2:14" ht="15" customHeight="1" x14ac:dyDescent="0.3">
      <c r="B18" s="4" t="s">
        <v>20</v>
      </c>
      <c r="C18" s="4" t="s">
        <v>21</v>
      </c>
    </row>
    <row r="19" spans="2:14" ht="15" customHeight="1" x14ac:dyDescent="0.3">
      <c r="B19" s="3" t="s">
        <v>22</v>
      </c>
      <c r="C19" s="3" t="s">
        <v>23</v>
      </c>
    </row>
    <row r="21" spans="2:14" ht="19.5" customHeight="1" x14ac:dyDescent="0.3">
      <c r="B21" s="114" t="s">
        <v>24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</row>
    <row r="22" spans="2:14" ht="18" customHeight="1" x14ac:dyDescent="0.3">
      <c r="B22" s="109" t="s">
        <v>25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2:14" ht="18" customHeight="1" x14ac:dyDescent="0.3">
      <c r="B23" s="109" t="s">
        <v>26</v>
      </c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2:14" ht="18" customHeight="1" x14ac:dyDescent="0.3">
      <c r="B24" s="109" t="s">
        <v>27</v>
      </c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2:14" ht="18" customHeight="1" x14ac:dyDescent="0.3">
      <c r="B25" s="109" t="s">
        <v>28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2:14" ht="18" customHeight="1" x14ac:dyDescent="0.3">
      <c r="B26" s="109" t="s">
        <v>29</v>
      </c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2:14" ht="18" customHeight="1" x14ac:dyDescent="0.3">
      <c r="B27" s="109" t="s">
        <v>30</v>
      </c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9" spans="2:14" ht="15" customHeight="1" x14ac:dyDescent="0.3">
      <c r="B29" s="5" t="s">
        <v>31</v>
      </c>
    </row>
  </sheetData>
  <mergeCells count="11">
    <mergeCell ref="B2:P2"/>
    <mergeCell ref="B4:P4"/>
    <mergeCell ref="B6:P6"/>
    <mergeCell ref="B9:N9"/>
    <mergeCell ref="B21:N21"/>
    <mergeCell ref="B27:N27"/>
    <mergeCell ref="B22:N22"/>
    <mergeCell ref="B23:N23"/>
    <mergeCell ref="B24:N24"/>
    <mergeCell ref="B25:N25"/>
    <mergeCell ref="B26:N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"/>
  <sheetViews>
    <sheetView showGridLines="0" topLeftCell="A42" zoomScaleNormal="100" workbookViewId="0"/>
  </sheetViews>
  <sheetFormatPr defaultColWidth="8.6640625" defaultRowHeight="14.4" x14ac:dyDescent="0.3"/>
  <cols>
    <col min="1" max="1" width="4" customWidth="1"/>
    <col min="2" max="2" width="16" customWidth="1"/>
    <col min="3" max="5" width="14" customWidth="1"/>
    <col min="6" max="7" width="16" customWidth="1"/>
    <col min="8" max="9" width="14" customWidth="1"/>
    <col min="10" max="12" width="18" customWidth="1"/>
  </cols>
  <sheetData>
    <row r="1" spans="1:12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.5" customHeight="1" x14ac:dyDescent="0.4">
      <c r="A2" s="1"/>
      <c r="B2" s="124" t="s">
        <v>32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1:12" ht="15" customHeight="1" x14ac:dyDescent="0.3">
      <c r="A3" s="1"/>
      <c r="B3" s="125" t="s">
        <v>33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12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spans="1:12" ht="24" customHeight="1" x14ac:dyDescent="0.3">
      <c r="B7" s="118" t="s">
        <v>34</v>
      </c>
      <c r="C7" s="118"/>
      <c r="D7" s="118"/>
      <c r="E7" s="118"/>
      <c r="F7" s="118"/>
      <c r="G7" s="118"/>
      <c r="H7" s="118"/>
      <c r="I7" s="118"/>
      <c r="J7" s="118"/>
      <c r="K7" s="118"/>
    </row>
    <row r="8" spans="1:12" ht="15" customHeight="1" x14ac:dyDescent="0.3">
      <c r="B8" s="122" t="s">
        <v>35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</row>
    <row r="9" spans="1:12" ht="15" customHeight="1" x14ac:dyDescent="0.3">
      <c r="B9" s="122" t="s">
        <v>36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</row>
    <row r="10" spans="1:12" ht="15" customHeight="1" x14ac:dyDescent="0.3">
      <c r="B10" s="122" t="s">
        <v>37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</row>
    <row r="12" spans="1:12" ht="24" customHeight="1" x14ac:dyDescent="0.3">
      <c r="B12" s="123" t="s">
        <v>38</v>
      </c>
      <c r="C12" s="123"/>
      <c r="D12" s="123"/>
      <c r="E12" s="123"/>
      <c r="F12" s="123"/>
      <c r="G12" s="123"/>
      <c r="H12" s="123"/>
      <c r="I12" s="123"/>
      <c r="J12" s="123"/>
      <c r="K12" s="123"/>
    </row>
    <row r="13" spans="1:12" ht="15.75" customHeight="1" x14ac:dyDescent="0.3">
      <c r="B13" s="120" t="s">
        <v>39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</row>
    <row r="14" spans="1:12" ht="15.75" customHeight="1" x14ac:dyDescent="0.3">
      <c r="B14" s="119" t="s">
        <v>40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</row>
    <row r="15" spans="1:12" ht="15.75" customHeight="1" x14ac:dyDescent="0.3">
      <c r="B15" s="120" t="s">
        <v>41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</row>
    <row r="16" spans="1:12" ht="15.75" customHeight="1" x14ac:dyDescent="0.3">
      <c r="B16" s="119" t="s">
        <v>42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</row>
    <row r="17" spans="2:12" ht="15.75" customHeight="1" x14ac:dyDescent="0.3">
      <c r="B17" s="120" t="s">
        <v>43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</row>
    <row r="19" spans="2:12" ht="24" customHeight="1" x14ac:dyDescent="0.3">
      <c r="B19" s="118" t="s">
        <v>44</v>
      </c>
      <c r="C19" s="118"/>
      <c r="D19" s="118"/>
      <c r="E19" s="118"/>
      <c r="F19" s="118"/>
      <c r="G19" s="118"/>
      <c r="H19" s="118"/>
      <c r="I19" s="118"/>
      <c r="J19" s="118"/>
      <c r="K19" s="118"/>
    </row>
    <row r="20" spans="2:12" ht="23.25" customHeight="1" x14ac:dyDescent="0.3">
      <c r="B20" s="6" t="s">
        <v>45</v>
      </c>
      <c r="C20" s="6" t="s">
        <v>46</v>
      </c>
      <c r="D20" s="6" t="s">
        <v>47</v>
      </c>
      <c r="E20" s="6" t="s">
        <v>48</v>
      </c>
      <c r="F20" s="6" t="s">
        <v>49</v>
      </c>
    </row>
    <row r="21" spans="2:12" ht="23.25" customHeight="1" x14ac:dyDescent="0.3">
      <c r="B21" s="4" t="s">
        <v>50</v>
      </c>
      <c r="C21" s="4" t="s">
        <v>51</v>
      </c>
      <c r="D21" s="4" t="s">
        <v>52</v>
      </c>
      <c r="E21" s="4" t="s">
        <v>53</v>
      </c>
      <c r="F21" s="4" t="s">
        <v>54</v>
      </c>
    </row>
    <row r="22" spans="2:12" ht="15" customHeight="1" x14ac:dyDescent="0.3">
      <c r="B22" s="3" t="s">
        <v>55</v>
      </c>
      <c r="C22" s="3" t="s">
        <v>56</v>
      </c>
      <c r="D22" s="3" t="s">
        <v>57</v>
      </c>
      <c r="E22" s="3" t="s">
        <v>58</v>
      </c>
      <c r="F22" s="3" t="s">
        <v>59</v>
      </c>
    </row>
    <row r="23" spans="2:12" ht="15" customHeight="1" x14ac:dyDescent="0.3">
      <c r="B23" s="4" t="s">
        <v>60</v>
      </c>
      <c r="C23" s="4" t="s">
        <v>61</v>
      </c>
      <c r="D23" s="4" t="s">
        <v>62</v>
      </c>
      <c r="E23" s="4" t="s">
        <v>63</v>
      </c>
      <c r="F23" s="4" t="s">
        <v>64</v>
      </c>
    </row>
    <row r="24" spans="2:12" ht="15" customHeight="1" x14ac:dyDescent="0.3">
      <c r="B24" s="3" t="s">
        <v>65</v>
      </c>
      <c r="C24" s="3" t="s">
        <v>56</v>
      </c>
      <c r="D24" s="3" t="s">
        <v>66</v>
      </c>
      <c r="E24" s="3" t="s">
        <v>67</v>
      </c>
      <c r="F24" s="3" t="s">
        <v>68</v>
      </c>
    </row>
    <row r="25" spans="2:12" ht="23.25" customHeight="1" x14ac:dyDescent="0.3">
      <c r="B25" s="4" t="s">
        <v>69</v>
      </c>
      <c r="C25" s="4" t="s">
        <v>56</v>
      </c>
      <c r="D25" s="4" t="s">
        <v>70</v>
      </c>
      <c r="E25" s="4" t="s">
        <v>71</v>
      </c>
      <c r="F25" s="4" t="s">
        <v>72</v>
      </c>
    </row>
    <row r="27" spans="2:12" ht="24" customHeight="1" x14ac:dyDescent="0.3">
      <c r="B27" s="121" t="s">
        <v>73</v>
      </c>
      <c r="C27" s="121"/>
      <c r="D27" s="121"/>
      <c r="E27" s="121"/>
      <c r="F27" s="121"/>
      <c r="G27" s="121"/>
      <c r="H27" s="121"/>
      <c r="I27" s="121"/>
      <c r="J27" s="121"/>
      <c r="K27" s="121"/>
    </row>
    <row r="28" spans="2:12" ht="23.25" customHeight="1" x14ac:dyDescent="0.3">
      <c r="B28" s="2" t="s">
        <v>74</v>
      </c>
      <c r="C28" s="2" t="s">
        <v>75</v>
      </c>
      <c r="D28" s="2" t="s">
        <v>76</v>
      </c>
      <c r="E28" s="2" t="s">
        <v>77</v>
      </c>
      <c r="F28" s="2" t="s">
        <v>78</v>
      </c>
      <c r="G28" s="2" t="s">
        <v>79</v>
      </c>
      <c r="H28" s="2" t="s">
        <v>80</v>
      </c>
      <c r="I28" s="2" t="s">
        <v>81</v>
      </c>
      <c r="J28" s="2" t="s">
        <v>82</v>
      </c>
      <c r="K28" s="2" t="s">
        <v>83</v>
      </c>
      <c r="L28" s="2" t="s">
        <v>84</v>
      </c>
    </row>
    <row r="29" spans="2:12" ht="15" customHeight="1" x14ac:dyDescent="0.3">
      <c r="B29" s="7" t="s">
        <v>85</v>
      </c>
      <c r="C29" s="7" t="s">
        <v>86</v>
      </c>
      <c r="D29" s="8">
        <v>11639</v>
      </c>
      <c r="E29" s="9">
        <v>2</v>
      </c>
      <c r="F29" s="9">
        <v>1</v>
      </c>
      <c r="G29" s="9">
        <v>1</v>
      </c>
      <c r="H29" s="9">
        <v>1</v>
      </c>
      <c r="I29" s="10">
        <f t="shared" ref="I29:I60" si="0">ROUND((D29/1000*0.25+E29*0.2+F29*0.15+G29*0.2+H29*0.2),2)</f>
        <v>3.86</v>
      </c>
      <c r="J29" s="11" t="str">
        <f t="shared" ref="J29:J60" si="1">IF(I29&lt;1.5,"Low",IF(I29&lt;2,"Medium",IF(I29&lt;2.5,"High","Critical")))</f>
        <v>Critical</v>
      </c>
      <c r="K29" s="11" t="str">
        <f t="shared" ref="K29:K60" si="2">IF(J29="Critical","Block + Alert",IF(J29="High","OTP Verification",IF(J29="Medium","Monitor","Allow")))</f>
        <v>Block + Alert</v>
      </c>
      <c r="L29" s="12">
        <f t="shared" ref="L29:L60" si="3">IF(OR(J29="High",J29="Critical"),D29,0)</f>
        <v>11639</v>
      </c>
    </row>
    <row r="30" spans="2:12" ht="15" customHeight="1" x14ac:dyDescent="0.3">
      <c r="B30" s="13" t="s">
        <v>87</v>
      </c>
      <c r="C30" s="13" t="s">
        <v>88</v>
      </c>
      <c r="D30" s="14">
        <v>854</v>
      </c>
      <c r="E30" s="15">
        <v>3</v>
      </c>
      <c r="F30" s="15">
        <v>2</v>
      </c>
      <c r="G30" s="15">
        <v>1</v>
      </c>
      <c r="H30" s="15">
        <v>1</v>
      </c>
      <c r="I30" s="10">
        <f t="shared" si="0"/>
        <v>1.51</v>
      </c>
      <c r="J30" s="11" t="str">
        <f t="shared" si="1"/>
        <v>Medium</v>
      </c>
      <c r="K30" s="11" t="str">
        <f t="shared" si="2"/>
        <v>Monitor</v>
      </c>
      <c r="L30" s="12">
        <f t="shared" si="3"/>
        <v>0</v>
      </c>
    </row>
    <row r="31" spans="2:12" ht="15" customHeight="1" x14ac:dyDescent="0.3">
      <c r="B31" s="7" t="s">
        <v>89</v>
      </c>
      <c r="C31" s="7" t="s">
        <v>90</v>
      </c>
      <c r="D31" s="8">
        <v>25247</v>
      </c>
      <c r="E31" s="9">
        <v>3</v>
      </c>
      <c r="F31" s="9">
        <v>1</v>
      </c>
      <c r="G31" s="9">
        <v>3</v>
      </c>
      <c r="H31" s="9">
        <v>1</v>
      </c>
      <c r="I31" s="10">
        <f t="shared" si="0"/>
        <v>7.86</v>
      </c>
      <c r="J31" s="11" t="str">
        <f t="shared" si="1"/>
        <v>Critical</v>
      </c>
      <c r="K31" s="11" t="str">
        <f t="shared" si="2"/>
        <v>Block + Alert</v>
      </c>
      <c r="L31" s="12">
        <f t="shared" si="3"/>
        <v>25247</v>
      </c>
    </row>
    <row r="32" spans="2:12" ht="15" customHeight="1" x14ac:dyDescent="0.3">
      <c r="B32" s="13" t="s">
        <v>91</v>
      </c>
      <c r="C32" s="13" t="s">
        <v>92</v>
      </c>
      <c r="D32" s="14">
        <v>833</v>
      </c>
      <c r="E32" s="15">
        <v>2</v>
      </c>
      <c r="F32" s="15">
        <v>3</v>
      </c>
      <c r="G32" s="15">
        <v>2</v>
      </c>
      <c r="H32" s="15">
        <v>1</v>
      </c>
      <c r="I32" s="10">
        <f t="shared" si="0"/>
        <v>1.66</v>
      </c>
      <c r="J32" s="11" t="str">
        <f t="shared" si="1"/>
        <v>Medium</v>
      </c>
      <c r="K32" s="11" t="str">
        <f t="shared" si="2"/>
        <v>Monitor</v>
      </c>
      <c r="L32" s="12">
        <f t="shared" si="3"/>
        <v>0</v>
      </c>
    </row>
    <row r="33" spans="2:12" ht="15" customHeight="1" x14ac:dyDescent="0.3">
      <c r="B33" s="7" t="s">
        <v>93</v>
      </c>
      <c r="C33" s="7" t="s">
        <v>94</v>
      </c>
      <c r="D33" s="8">
        <v>3615</v>
      </c>
      <c r="E33" s="9">
        <v>2</v>
      </c>
      <c r="F33" s="9">
        <v>1</v>
      </c>
      <c r="G33" s="9">
        <v>1</v>
      </c>
      <c r="H33" s="9">
        <v>2</v>
      </c>
      <c r="I33" s="10">
        <f t="shared" si="0"/>
        <v>2.0499999999999998</v>
      </c>
      <c r="J33" s="11" t="str">
        <f t="shared" si="1"/>
        <v>High</v>
      </c>
      <c r="K33" s="11" t="str">
        <f t="shared" si="2"/>
        <v>OTP Verification</v>
      </c>
      <c r="L33" s="12">
        <f t="shared" si="3"/>
        <v>3615</v>
      </c>
    </row>
    <row r="34" spans="2:12" ht="15" customHeight="1" x14ac:dyDescent="0.3">
      <c r="B34" s="13" t="s">
        <v>95</v>
      </c>
      <c r="C34" s="13" t="s">
        <v>96</v>
      </c>
      <c r="D34" s="14">
        <v>204</v>
      </c>
      <c r="E34" s="15">
        <v>2</v>
      </c>
      <c r="F34" s="15">
        <v>2</v>
      </c>
      <c r="G34" s="15">
        <v>3</v>
      </c>
      <c r="H34" s="15">
        <v>2</v>
      </c>
      <c r="I34" s="10">
        <f t="shared" si="0"/>
        <v>1.75</v>
      </c>
      <c r="J34" s="11" t="str">
        <f t="shared" si="1"/>
        <v>Medium</v>
      </c>
      <c r="K34" s="11" t="str">
        <f t="shared" si="2"/>
        <v>Monitor</v>
      </c>
      <c r="L34" s="12">
        <f t="shared" si="3"/>
        <v>0</v>
      </c>
    </row>
    <row r="35" spans="2:12" ht="15" customHeight="1" x14ac:dyDescent="0.3">
      <c r="B35" s="7" t="s">
        <v>97</v>
      </c>
      <c r="C35" s="7" t="s">
        <v>98</v>
      </c>
      <c r="D35" s="8">
        <v>40108</v>
      </c>
      <c r="E35" s="9">
        <v>1</v>
      </c>
      <c r="F35" s="9">
        <v>2</v>
      </c>
      <c r="G35" s="9">
        <v>1</v>
      </c>
      <c r="H35" s="9">
        <v>3</v>
      </c>
      <c r="I35" s="10">
        <f t="shared" si="0"/>
        <v>11.33</v>
      </c>
      <c r="J35" s="11" t="str">
        <f t="shared" si="1"/>
        <v>Critical</v>
      </c>
      <c r="K35" s="11" t="str">
        <f t="shared" si="2"/>
        <v>Block + Alert</v>
      </c>
      <c r="L35" s="12">
        <f t="shared" si="3"/>
        <v>40108</v>
      </c>
    </row>
    <row r="36" spans="2:12" ht="15" customHeight="1" x14ac:dyDescent="0.3">
      <c r="B36" s="13" t="s">
        <v>99</v>
      </c>
      <c r="C36" s="13" t="s">
        <v>100</v>
      </c>
      <c r="D36" s="14">
        <v>400</v>
      </c>
      <c r="E36" s="15">
        <v>3</v>
      </c>
      <c r="F36" s="15">
        <v>1</v>
      </c>
      <c r="G36" s="15">
        <v>1</v>
      </c>
      <c r="H36" s="15">
        <v>3</v>
      </c>
      <c r="I36" s="10">
        <f t="shared" si="0"/>
        <v>1.65</v>
      </c>
      <c r="J36" s="11" t="str">
        <f t="shared" si="1"/>
        <v>Medium</v>
      </c>
      <c r="K36" s="11" t="str">
        <f t="shared" si="2"/>
        <v>Monitor</v>
      </c>
      <c r="L36" s="12">
        <f t="shared" si="3"/>
        <v>0</v>
      </c>
    </row>
    <row r="37" spans="2:12" ht="15" customHeight="1" x14ac:dyDescent="0.3">
      <c r="B37" s="7" t="s">
        <v>101</v>
      </c>
      <c r="C37" s="7" t="s">
        <v>102</v>
      </c>
      <c r="D37" s="8">
        <v>333</v>
      </c>
      <c r="E37" s="9">
        <v>1</v>
      </c>
      <c r="F37" s="9">
        <v>2</v>
      </c>
      <c r="G37" s="9">
        <v>2</v>
      </c>
      <c r="H37" s="9">
        <v>2</v>
      </c>
      <c r="I37" s="10">
        <f t="shared" si="0"/>
        <v>1.38</v>
      </c>
      <c r="J37" s="11" t="str">
        <f t="shared" si="1"/>
        <v>Low</v>
      </c>
      <c r="K37" s="11" t="str">
        <f t="shared" si="2"/>
        <v>Allow</v>
      </c>
      <c r="L37" s="12">
        <f t="shared" si="3"/>
        <v>0</v>
      </c>
    </row>
    <row r="38" spans="2:12" ht="15" customHeight="1" x14ac:dyDescent="0.3">
      <c r="B38" s="13" t="s">
        <v>103</v>
      </c>
      <c r="C38" s="13" t="s">
        <v>104</v>
      </c>
      <c r="D38" s="14">
        <v>6977</v>
      </c>
      <c r="E38" s="15">
        <v>2</v>
      </c>
      <c r="F38" s="15">
        <v>1</v>
      </c>
      <c r="G38" s="15">
        <v>3</v>
      </c>
      <c r="H38" s="15">
        <v>2</v>
      </c>
      <c r="I38" s="10">
        <f t="shared" si="0"/>
        <v>3.29</v>
      </c>
      <c r="J38" s="11" t="str">
        <f t="shared" si="1"/>
        <v>Critical</v>
      </c>
      <c r="K38" s="11" t="str">
        <f t="shared" si="2"/>
        <v>Block + Alert</v>
      </c>
      <c r="L38" s="12">
        <f t="shared" si="3"/>
        <v>6977</v>
      </c>
    </row>
    <row r="39" spans="2:12" ht="15" customHeight="1" x14ac:dyDescent="0.3">
      <c r="B39" s="7" t="s">
        <v>105</v>
      </c>
      <c r="C39" s="7" t="s">
        <v>86</v>
      </c>
      <c r="D39" s="8">
        <v>49920</v>
      </c>
      <c r="E39" s="9">
        <v>1</v>
      </c>
      <c r="F39" s="9">
        <v>3</v>
      </c>
      <c r="G39" s="9">
        <v>3</v>
      </c>
      <c r="H39" s="9">
        <v>1</v>
      </c>
      <c r="I39" s="10">
        <f t="shared" si="0"/>
        <v>13.93</v>
      </c>
      <c r="J39" s="11" t="str">
        <f t="shared" si="1"/>
        <v>Critical</v>
      </c>
      <c r="K39" s="11" t="str">
        <f t="shared" si="2"/>
        <v>Block + Alert</v>
      </c>
      <c r="L39" s="12">
        <f t="shared" si="3"/>
        <v>49920</v>
      </c>
    </row>
    <row r="40" spans="2:12" ht="15" customHeight="1" x14ac:dyDescent="0.3">
      <c r="B40" s="13" t="s">
        <v>106</v>
      </c>
      <c r="C40" s="13" t="s">
        <v>88</v>
      </c>
      <c r="D40" s="14">
        <v>8573</v>
      </c>
      <c r="E40" s="15">
        <v>3</v>
      </c>
      <c r="F40" s="15">
        <v>3</v>
      </c>
      <c r="G40" s="15">
        <v>3</v>
      </c>
      <c r="H40" s="15">
        <v>1</v>
      </c>
      <c r="I40" s="10">
        <f t="shared" si="0"/>
        <v>3.99</v>
      </c>
      <c r="J40" s="11" t="str">
        <f t="shared" si="1"/>
        <v>Critical</v>
      </c>
      <c r="K40" s="11" t="str">
        <f t="shared" si="2"/>
        <v>Block + Alert</v>
      </c>
      <c r="L40" s="12">
        <f t="shared" si="3"/>
        <v>8573</v>
      </c>
    </row>
    <row r="41" spans="2:12" ht="15" customHeight="1" x14ac:dyDescent="0.3">
      <c r="B41" s="7" t="s">
        <v>107</v>
      </c>
      <c r="C41" s="7" t="s">
        <v>90</v>
      </c>
      <c r="D41" s="8">
        <v>801</v>
      </c>
      <c r="E41" s="9">
        <v>1</v>
      </c>
      <c r="F41" s="9">
        <v>2</v>
      </c>
      <c r="G41" s="9">
        <v>2</v>
      </c>
      <c r="H41" s="9">
        <v>2</v>
      </c>
      <c r="I41" s="10">
        <f t="shared" si="0"/>
        <v>1.5</v>
      </c>
      <c r="J41" s="11" t="str">
        <f t="shared" si="1"/>
        <v>Medium</v>
      </c>
      <c r="K41" s="11" t="str">
        <f t="shared" si="2"/>
        <v>Monitor</v>
      </c>
      <c r="L41" s="12">
        <f t="shared" si="3"/>
        <v>0</v>
      </c>
    </row>
    <row r="42" spans="2:12" ht="15" customHeight="1" x14ac:dyDescent="0.3">
      <c r="B42" s="13" t="s">
        <v>108</v>
      </c>
      <c r="C42" s="13" t="s">
        <v>92</v>
      </c>
      <c r="D42" s="14">
        <v>47170</v>
      </c>
      <c r="E42" s="15">
        <v>2</v>
      </c>
      <c r="F42" s="15">
        <v>1</v>
      </c>
      <c r="G42" s="15">
        <v>3</v>
      </c>
      <c r="H42" s="15">
        <v>2</v>
      </c>
      <c r="I42" s="10">
        <f t="shared" si="0"/>
        <v>13.34</v>
      </c>
      <c r="J42" s="11" t="str">
        <f t="shared" si="1"/>
        <v>Critical</v>
      </c>
      <c r="K42" s="11" t="str">
        <f t="shared" si="2"/>
        <v>Block + Alert</v>
      </c>
      <c r="L42" s="12">
        <f t="shared" si="3"/>
        <v>47170</v>
      </c>
    </row>
    <row r="43" spans="2:12" ht="15" customHeight="1" x14ac:dyDescent="0.3">
      <c r="B43" s="7" t="s">
        <v>109</v>
      </c>
      <c r="C43" s="7" t="s">
        <v>94</v>
      </c>
      <c r="D43" s="8">
        <v>8517</v>
      </c>
      <c r="E43" s="9">
        <v>1</v>
      </c>
      <c r="F43" s="9">
        <v>1</v>
      </c>
      <c r="G43" s="9">
        <v>3</v>
      </c>
      <c r="H43" s="9">
        <v>3</v>
      </c>
      <c r="I43" s="10">
        <f t="shared" si="0"/>
        <v>3.68</v>
      </c>
      <c r="J43" s="11" t="str">
        <f t="shared" si="1"/>
        <v>Critical</v>
      </c>
      <c r="K43" s="11" t="str">
        <f t="shared" si="2"/>
        <v>Block + Alert</v>
      </c>
      <c r="L43" s="12">
        <f t="shared" si="3"/>
        <v>8517</v>
      </c>
    </row>
    <row r="44" spans="2:12" ht="15" customHeight="1" x14ac:dyDescent="0.3">
      <c r="B44" s="13" t="s">
        <v>110</v>
      </c>
      <c r="C44" s="13" t="s">
        <v>96</v>
      </c>
      <c r="D44" s="14">
        <v>5304</v>
      </c>
      <c r="E44" s="15">
        <v>3</v>
      </c>
      <c r="F44" s="15">
        <v>2</v>
      </c>
      <c r="G44" s="15">
        <v>2</v>
      </c>
      <c r="H44" s="15">
        <v>1</v>
      </c>
      <c r="I44" s="10">
        <f t="shared" si="0"/>
        <v>2.83</v>
      </c>
      <c r="J44" s="11" t="str">
        <f t="shared" si="1"/>
        <v>Critical</v>
      </c>
      <c r="K44" s="11" t="str">
        <f t="shared" si="2"/>
        <v>Block + Alert</v>
      </c>
      <c r="L44" s="12">
        <f t="shared" si="3"/>
        <v>5304</v>
      </c>
    </row>
    <row r="45" spans="2:12" ht="15" customHeight="1" x14ac:dyDescent="0.3">
      <c r="B45" s="7" t="s">
        <v>111</v>
      </c>
      <c r="C45" s="7" t="s">
        <v>98</v>
      </c>
      <c r="D45" s="8">
        <v>241</v>
      </c>
      <c r="E45" s="9">
        <v>1</v>
      </c>
      <c r="F45" s="9">
        <v>1</v>
      </c>
      <c r="G45" s="9">
        <v>1</v>
      </c>
      <c r="H45" s="9">
        <v>3</v>
      </c>
      <c r="I45" s="10">
        <f t="shared" si="0"/>
        <v>1.21</v>
      </c>
      <c r="J45" s="11" t="str">
        <f t="shared" si="1"/>
        <v>Low</v>
      </c>
      <c r="K45" s="11" t="str">
        <f t="shared" si="2"/>
        <v>Allow</v>
      </c>
      <c r="L45" s="12">
        <f t="shared" si="3"/>
        <v>0</v>
      </c>
    </row>
    <row r="46" spans="2:12" ht="15" customHeight="1" x14ac:dyDescent="0.3">
      <c r="B46" s="13" t="s">
        <v>112</v>
      </c>
      <c r="C46" s="13" t="s">
        <v>100</v>
      </c>
      <c r="D46" s="14">
        <v>263</v>
      </c>
      <c r="E46" s="15">
        <v>2</v>
      </c>
      <c r="F46" s="15">
        <v>2</v>
      </c>
      <c r="G46" s="15">
        <v>3</v>
      </c>
      <c r="H46" s="15">
        <v>2</v>
      </c>
      <c r="I46" s="10">
        <f t="shared" si="0"/>
        <v>1.77</v>
      </c>
      <c r="J46" s="11" t="str">
        <f t="shared" si="1"/>
        <v>Medium</v>
      </c>
      <c r="K46" s="11" t="str">
        <f t="shared" si="2"/>
        <v>Monitor</v>
      </c>
      <c r="L46" s="12">
        <f t="shared" si="3"/>
        <v>0</v>
      </c>
    </row>
    <row r="47" spans="2:12" ht="15" customHeight="1" x14ac:dyDescent="0.3">
      <c r="B47" s="7" t="s">
        <v>113</v>
      </c>
      <c r="C47" s="7" t="s">
        <v>102</v>
      </c>
      <c r="D47" s="8">
        <v>641</v>
      </c>
      <c r="E47" s="9">
        <v>3</v>
      </c>
      <c r="F47" s="9">
        <v>3</v>
      </c>
      <c r="G47" s="9">
        <v>1</v>
      </c>
      <c r="H47" s="9">
        <v>3</v>
      </c>
      <c r="I47" s="10">
        <f t="shared" si="0"/>
        <v>2.0099999999999998</v>
      </c>
      <c r="J47" s="11" t="str">
        <f t="shared" si="1"/>
        <v>High</v>
      </c>
      <c r="K47" s="11" t="str">
        <f t="shared" si="2"/>
        <v>OTP Verification</v>
      </c>
      <c r="L47" s="12">
        <f t="shared" si="3"/>
        <v>641</v>
      </c>
    </row>
    <row r="48" spans="2:12" ht="15" customHeight="1" x14ac:dyDescent="0.3">
      <c r="B48" s="13" t="s">
        <v>114</v>
      </c>
      <c r="C48" s="13" t="s">
        <v>104</v>
      </c>
      <c r="D48" s="14">
        <v>649</v>
      </c>
      <c r="E48" s="15">
        <v>2</v>
      </c>
      <c r="F48" s="15">
        <v>2</v>
      </c>
      <c r="G48" s="15">
        <v>1</v>
      </c>
      <c r="H48" s="15">
        <v>2</v>
      </c>
      <c r="I48" s="10">
        <f t="shared" si="0"/>
        <v>1.46</v>
      </c>
      <c r="J48" s="11" t="str">
        <f t="shared" si="1"/>
        <v>Low</v>
      </c>
      <c r="K48" s="11" t="str">
        <f t="shared" si="2"/>
        <v>Allow</v>
      </c>
      <c r="L48" s="12">
        <f t="shared" si="3"/>
        <v>0</v>
      </c>
    </row>
    <row r="49" spans="2:12" ht="15" customHeight="1" x14ac:dyDescent="0.3">
      <c r="B49" s="7" t="s">
        <v>115</v>
      </c>
      <c r="C49" s="7" t="s">
        <v>86</v>
      </c>
      <c r="D49" s="8">
        <v>103</v>
      </c>
      <c r="E49" s="9">
        <v>3</v>
      </c>
      <c r="F49" s="9">
        <v>1</v>
      </c>
      <c r="G49" s="9">
        <v>3</v>
      </c>
      <c r="H49" s="9">
        <v>2</v>
      </c>
      <c r="I49" s="10">
        <f t="shared" si="0"/>
        <v>1.78</v>
      </c>
      <c r="J49" s="11" t="str">
        <f t="shared" si="1"/>
        <v>Medium</v>
      </c>
      <c r="K49" s="11" t="str">
        <f t="shared" si="2"/>
        <v>Monitor</v>
      </c>
      <c r="L49" s="12">
        <f t="shared" si="3"/>
        <v>0</v>
      </c>
    </row>
    <row r="50" spans="2:12" ht="15" customHeight="1" x14ac:dyDescent="0.3">
      <c r="B50" s="13" t="s">
        <v>116</v>
      </c>
      <c r="C50" s="13" t="s">
        <v>88</v>
      </c>
      <c r="D50" s="14">
        <v>961</v>
      </c>
      <c r="E50" s="15">
        <v>1</v>
      </c>
      <c r="F50" s="15">
        <v>2</v>
      </c>
      <c r="G50" s="15">
        <v>1</v>
      </c>
      <c r="H50" s="15">
        <v>3</v>
      </c>
      <c r="I50" s="10">
        <f t="shared" si="0"/>
        <v>1.54</v>
      </c>
      <c r="J50" s="11" t="str">
        <f t="shared" si="1"/>
        <v>Medium</v>
      </c>
      <c r="K50" s="11" t="str">
        <f t="shared" si="2"/>
        <v>Monitor</v>
      </c>
      <c r="L50" s="12">
        <f t="shared" si="3"/>
        <v>0</v>
      </c>
    </row>
    <row r="51" spans="2:12" ht="15" customHeight="1" x14ac:dyDescent="0.3">
      <c r="B51" s="7" t="s">
        <v>117</v>
      </c>
      <c r="C51" s="7" t="s">
        <v>90</v>
      </c>
      <c r="D51" s="8">
        <v>10037</v>
      </c>
      <c r="E51" s="9">
        <v>2</v>
      </c>
      <c r="F51" s="9">
        <v>2</v>
      </c>
      <c r="G51" s="9">
        <v>1</v>
      </c>
      <c r="H51" s="9">
        <v>1</v>
      </c>
      <c r="I51" s="10">
        <f t="shared" si="0"/>
        <v>3.61</v>
      </c>
      <c r="J51" s="11" t="str">
        <f t="shared" si="1"/>
        <v>Critical</v>
      </c>
      <c r="K51" s="11" t="str">
        <f t="shared" si="2"/>
        <v>Block + Alert</v>
      </c>
      <c r="L51" s="12">
        <f t="shared" si="3"/>
        <v>10037</v>
      </c>
    </row>
    <row r="52" spans="2:12" ht="15" customHeight="1" x14ac:dyDescent="0.3">
      <c r="B52" s="13" t="s">
        <v>118</v>
      </c>
      <c r="C52" s="13" t="s">
        <v>92</v>
      </c>
      <c r="D52" s="14">
        <v>471</v>
      </c>
      <c r="E52" s="15">
        <v>1</v>
      </c>
      <c r="F52" s="15">
        <v>3</v>
      </c>
      <c r="G52" s="15">
        <v>1</v>
      </c>
      <c r="H52" s="15">
        <v>1</v>
      </c>
      <c r="I52" s="10">
        <f t="shared" si="0"/>
        <v>1.17</v>
      </c>
      <c r="J52" s="11" t="str">
        <f t="shared" si="1"/>
        <v>Low</v>
      </c>
      <c r="K52" s="11" t="str">
        <f t="shared" si="2"/>
        <v>Allow</v>
      </c>
      <c r="L52" s="12">
        <f t="shared" si="3"/>
        <v>0</v>
      </c>
    </row>
    <row r="53" spans="2:12" ht="15" customHeight="1" x14ac:dyDescent="0.3">
      <c r="B53" s="7" t="s">
        <v>119</v>
      </c>
      <c r="C53" s="7" t="s">
        <v>94</v>
      </c>
      <c r="D53" s="8">
        <v>14535</v>
      </c>
      <c r="E53" s="9">
        <v>1</v>
      </c>
      <c r="F53" s="9">
        <v>1</v>
      </c>
      <c r="G53" s="9">
        <v>3</v>
      </c>
      <c r="H53" s="9">
        <v>2</v>
      </c>
      <c r="I53" s="10">
        <f t="shared" si="0"/>
        <v>4.9800000000000004</v>
      </c>
      <c r="J53" s="11" t="str">
        <f t="shared" si="1"/>
        <v>Critical</v>
      </c>
      <c r="K53" s="11" t="str">
        <f t="shared" si="2"/>
        <v>Block + Alert</v>
      </c>
      <c r="L53" s="12">
        <f t="shared" si="3"/>
        <v>14535</v>
      </c>
    </row>
    <row r="54" spans="2:12" ht="15" customHeight="1" x14ac:dyDescent="0.3">
      <c r="B54" s="13" t="s">
        <v>120</v>
      </c>
      <c r="C54" s="13" t="s">
        <v>96</v>
      </c>
      <c r="D54" s="14">
        <v>27370</v>
      </c>
      <c r="E54" s="15">
        <v>3</v>
      </c>
      <c r="F54" s="15">
        <v>2</v>
      </c>
      <c r="G54" s="15">
        <v>1</v>
      </c>
      <c r="H54" s="15">
        <v>3</v>
      </c>
      <c r="I54" s="10">
        <f t="shared" si="0"/>
        <v>8.5399999999999991</v>
      </c>
      <c r="J54" s="11" t="str">
        <f t="shared" si="1"/>
        <v>Critical</v>
      </c>
      <c r="K54" s="11" t="str">
        <f t="shared" si="2"/>
        <v>Block + Alert</v>
      </c>
      <c r="L54" s="12">
        <f t="shared" si="3"/>
        <v>27370</v>
      </c>
    </row>
    <row r="55" spans="2:12" ht="15" customHeight="1" x14ac:dyDescent="0.3">
      <c r="B55" s="7" t="s">
        <v>121</v>
      </c>
      <c r="C55" s="7" t="s">
        <v>98</v>
      </c>
      <c r="D55" s="8">
        <v>4295</v>
      </c>
      <c r="E55" s="9">
        <v>3</v>
      </c>
      <c r="F55" s="9">
        <v>3</v>
      </c>
      <c r="G55" s="9">
        <v>2</v>
      </c>
      <c r="H55" s="9">
        <v>2</v>
      </c>
      <c r="I55" s="10">
        <f t="shared" si="0"/>
        <v>2.92</v>
      </c>
      <c r="J55" s="11" t="str">
        <f t="shared" si="1"/>
        <v>Critical</v>
      </c>
      <c r="K55" s="11" t="str">
        <f t="shared" si="2"/>
        <v>Block + Alert</v>
      </c>
      <c r="L55" s="12">
        <f t="shared" si="3"/>
        <v>4295</v>
      </c>
    </row>
    <row r="56" spans="2:12" ht="15" customHeight="1" x14ac:dyDescent="0.3">
      <c r="B56" s="13" t="s">
        <v>122</v>
      </c>
      <c r="C56" s="13" t="s">
        <v>100</v>
      </c>
      <c r="D56" s="14">
        <v>629</v>
      </c>
      <c r="E56" s="15">
        <v>1</v>
      </c>
      <c r="F56" s="15">
        <v>1</v>
      </c>
      <c r="G56" s="15">
        <v>2</v>
      </c>
      <c r="H56" s="15">
        <v>1</v>
      </c>
      <c r="I56" s="10">
        <f t="shared" si="0"/>
        <v>1.1100000000000001</v>
      </c>
      <c r="J56" s="11" t="str">
        <f t="shared" si="1"/>
        <v>Low</v>
      </c>
      <c r="K56" s="11" t="str">
        <f t="shared" si="2"/>
        <v>Allow</v>
      </c>
      <c r="L56" s="12">
        <f t="shared" si="3"/>
        <v>0</v>
      </c>
    </row>
    <row r="57" spans="2:12" ht="15" customHeight="1" x14ac:dyDescent="0.3">
      <c r="B57" s="7" t="s">
        <v>123</v>
      </c>
      <c r="C57" s="7" t="s">
        <v>102</v>
      </c>
      <c r="D57" s="8">
        <v>702</v>
      </c>
      <c r="E57" s="9">
        <v>1</v>
      </c>
      <c r="F57" s="9">
        <v>1</v>
      </c>
      <c r="G57" s="9">
        <v>3</v>
      </c>
      <c r="H57" s="9">
        <v>3</v>
      </c>
      <c r="I57" s="10">
        <f t="shared" si="0"/>
        <v>1.73</v>
      </c>
      <c r="J57" s="11" t="str">
        <f t="shared" si="1"/>
        <v>Medium</v>
      </c>
      <c r="K57" s="11" t="str">
        <f t="shared" si="2"/>
        <v>Monitor</v>
      </c>
      <c r="L57" s="12">
        <f t="shared" si="3"/>
        <v>0</v>
      </c>
    </row>
    <row r="58" spans="2:12" ht="15" customHeight="1" x14ac:dyDescent="0.3">
      <c r="B58" s="13" t="s">
        <v>124</v>
      </c>
      <c r="C58" s="13" t="s">
        <v>104</v>
      </c>
      <c r="D58" s="14">
        <v>160</v>
      </c>
      <c r="E58" s="15">
        <v>2</v>
      </c>
      <c r="F58" s="15">
        <v>1</v>
      </c>
      <c r="G58" s="15">
        <v>3</v>
      </c>
      <c r="H58" s="15">
        <v>1</v>
      </c>
      <c r="I58" s="10">
        <f t="shared" si="0"/>
        <v>1.39</v>
      </c>
      <c r="J58" s="11" t="str">
        <f t="shared" si="1"/>
        <v>Low</v>
      </c>
      <c r="K58" s="11" t="str">
        <f t="shared" si="2"/>
        <v>Allow</v>
      </c>
      <c r="L58" s="12">
        <f t="shared" si="3"/>
        <v>0</v>
      </c>
    </row>
    <row r="59" spans="2:12" ht="15" customHeight="1" x14ac:dyDescent="0.3">
      <c r="B59" s="7" t="s">
        <v>125</v>
      </c>
      <c r="C59" s="7" t="s">
        <v>86</v>
      </c>
      <c r="D59" s="8">
        <v>24040</v>
      </c>
      <c r="E59" s="9">
        <v>1</v>
      </c>
      <c r="F59" s="9">
        <v>3</v>
      </c>
      <c r="G59" s="9">
        <v>3</v>
      </c>
      <c r="H59" s="9">
        <v>3</v>
      </c>
      <c r="I59" s="10">
        <f t="shared" si="0"/>
        <v>7.86</v>
      </c>
      <c r="J59" s="11" t="str">
        <f t="shared" si="1"/>
        <v>Critical</v>
      </c>
      <c r="K59" s="11" t="str">
        <f t="shared" si="2"/>
        <v>Block + Alert</v>
      </c>
      <c r="L59" s="12">
        <f t="shared" si="3"/>
        <v>24040</v>
      </c>
    </row>
    <row r="60" spans="2:12" ht="15" customHeight="1" x14ac:dyDescent="0.3">
      <c r="B60" s="13" t="s">
        <v>126</v>
      </c>
      <c r="C60" s="13" t="s">
        <v>88</v>
      </c>
      <c r="D60" s="14">
        <v>4981</v>
      </c>
      <c r="E60" s="15">
        <v>1</v>
      </c>
      <c r="F60" s="15">
        <v>1</v>
      </c>
      <c r="G60" s="15">
        <v>1</v>
      </c>
      <c r="H60" s="15">
        <v>3</v>
      </c>
      <c r="I60" s="10">
        <f t="shared" si="0"/>
        <v>2.4</v>
      </c>
      <c r="J60" s="11" t="str">
        <f t="shared" si="1"/>
        <v>High</v>
      </c>
      <c r="K60" s="11" t="str">
        <f t="shared" si="2"/>
        <v>OTP Verification</v>
      </c>
      <c r="L60" s="12">
        <f t="shared" si="3"/>
        <v>4981</v>
      </c>
    </row>
    <row r="61" spans="2:12" ht="15" customHeight="1" x14ac:dyDescent="0.3">
      <c r="B61" s="7" t="s">
        <v>127</v>
      </c>
      <c r="C61" s="7" t="s">
        <v>90</v>
      </c>
      <c r="D61" s="8">
        <v>6804</v>
      </c>
      <c r="E61" s="9">
        <v>2</v>
      </c>
      <c r="F61" s="9">
        <v>3</v>
      </c>
      <c r="G61" s="9">
        <v>1</v>
      </c>
      <c r="H61" s="9">
        <v>3</v>
      </c>
      <c r="I61" s="10">
        <f t="shared" ref="I61:I78" si="4">ROUND((D61/1000*0.25+E61*0.2+F61*0.15+G61*0.2+H61*0.2),2)</f>
        <v>3.35</v>
      </c>
      <c r="J61" s="11" t="str">
        <f t="shared" ref="J61:J78" si="5">IF(I61&lt;1.5,"Low",IF(I61&lt;2,"Medium",IF(I61&lt;2.5,"High","Critical")))</f>
        <v>Critical</v>
      </c>
      <c r="K61" s="11" t="str">
        <f t="shared" ref="K61:K78" si="6">IF(J61="Critical","Block + Alert",IF(J61="High","OTP Verification",IF(J61="Medium","Monitor","Allow")))</f>
        <v>Block + Alert</v>
      </c>
      <c r="L61" s="12">
        <f t="shared" ref="L61:L78" si="7">IF(OR(J61="High",J61="Critical"),D61,0)</f>
        <v>6804</v>
      </c>
    </row>
    <row r="62" spans="2:12" ht="15" customHeight="1" x14ac:dyDescent="0.3">
      <c r="B62" s="13" t="s">
        <v>128</v>
      </c>
      <c r="C62" s="13" t="s">
        <v>92</v>
      </c>
      <c r="D62" s="14">
        <v>2612</v>
      </c>
      <c r="E62" s="15">
        <v>3</v>
      </c>
      <c r="F62" s="15">
        <v>2</v>
      </c>
      <c r="G62" s="15">
        <v>1</v>
      </c>
      <c r="H62" s="15">
        <v>1</v>
      </c>
      <c r="I62" s="10">
        <f t="shared" si="4"/>
        <v>1.95</v>
      </c>
      <c r="J62" s="11" t="str">
        <f t="shared" si="5"/>
        <v>Medium</v>
      </c>
      <c r="K62" s="11" t="str">
        <f t="shared" si="6"/>
        <v>Monitor</v>
      </c>
      <c r="L62" s="12">
        <f t="shared" si="7"/>
        <v>0</v>
      </c>
    </row>
    <row r="63" spans="2:12" ht="15" customHeight="1" x14ac:dyDescent="0.3">
      <c r="B63" s="7" t="s">
        <v>129</v>
      </c>
      <c r="C63" s="7" t="s">
        <v>94</v>
      </c>
      <c r="D63" s="8">
        <v>4116</v>
      </c>
      <c r="E63" s="9">
        <v>1</v>
      </c>
      <c r="F63" s="9">
        <v>2</v>
      </c>
      <c r="G63" s="9">
        <v>1</v>
      </c>
      <c r="H63" s="9">
        <v>2</v>
      </c>
      <c r="I63" s="10">
        <f t="shared" si="4"/>
        <v>2.13</v>
      </c>
      <c r="J63" s="11" t="str">
        <f t="shared" si="5"/>
        <v>High</v>
      </c>
      <c r="K63" s="11" t="str">
        <f t="shared" si="6"/>
        <v>OTP Verification</v>
      </c>
      <c r="L63" s="12">
        <f t="shared" si="7"/>
        <v>4116</v>
      </c>
    </row>
    <row r="64" spans="2:12" ht="15" customHeight="1" x14ac:dyDescent="0.3">
      <c r="B64" s="13" t="s">
        <v>130</v>
      </c>
      <c r="C64" s="13" t="s">
        <v>96</v>
      </c>
      <c r="D64" s="14">
        <v>5092</v>
      </c>
      <c r="E64" s="15">
        <v>3</v>
      </c>
      <c r="F64" s="15">
        <v>1</v>
      </c>
      <c r="G64" s="15">
        <v>1</v>
      </c>
      <c r="H64" s="15">
        <v>3</v>
      </c>
      <c r="I64" s="10">
        <f t="shared" si="4"/>
        <v>2.82</v>
      </c>
      <c r="J64" s="11" t="str">
        <f t="shared" si="5"/>
        <v>Critical</v>
      </c>
      <c r="K64" s="11" t="str">
        <f t="shared" si="6"/>
        <v>Block + Alert</v>
      </c>
      <c r="L64" s="12">
        <f t="shared" si="7"/>
        <v>5092</v>
      </c>
    </row>
    <row r="65" spans="2:12" ht="15" customHeight="1" x14ac:dyDescent="0.3">
      <c r="B65" s="7" t="s">
        <v>131</v>
      </c>
      <c r="C65" s="7" t="s">
        <v>98</v>
      </c>
      <c r="D65" s="8">
        <v>653</v>
      </c>
      <c r="E65" s="9">
        <v>1</v>
      </c>
      <c r="F65" s="9">
        <v>2</v>
      </c>
      <c r="G65" s="9">
        <v>2</v>
      </c>
      <c r="H65" s="9">
        <v>2</v>
      </c>
      <c r="I65" s="10">
        <f t="shared" si="4"/>
        <v>1.46</v>
      </c>
      <c r="J65" s="11" t="str">
        <f t="shared" si="5"/>
        <v>Low</v>
      </c>
      <c r="K65" s="11" t="str">
        <f t="shared" si="6"/>
        <v>Allow</v>
      </c>
      <c r="L65" s="12">
        <f t="shared" si="7"/>
        <v>0</v>
      </c>
    </row>
    <row r="66" spans="2:12" ht="15" customHeight="1" x14ac:dyDescent="0.3">
      <c r="B66" s="13" t="s">
        <v>132</v>
      </c>
      <c r="C66" s="13" t="s">
        <v>100</v>
      </c>
      <c r="D66" s="14">
        <v>318</v>
      </c>
      <c r="E66" s="15">
        <v>2</v>
      </c>
      <c r="F66" s="15">
        <v>1</v>
      </c>
      <c r="G66" s="15">
        <v>2</v>
      </c>
      <c r="H66" s="15">
        <v>2</v>
      </c>
      <c r="I66" s="10">
        <f t="shared" si="4"/>
        <v>1.43</v>
      </c>
      <c r="J66" s="11" t="str">
        <f t="shared" si="5"/>
        <v>Low</v>
      </c>
      <c r="K66" s="11" t="str">
        <f t="shared" si="6"/>
        <v>Allow</v>
      </c>
      <c r="L66" s="12">
        <f t="shared" si="7"/>
        <v>0</v>
      </c>
    </row>
    <row r="67" spans="2:12" ht="15" customHeight="1" x14ac:dyDescent="0.3">
      <c r="B67" s="7" t="s">
        <v>133</v>
      </c>
      <c r="C67" s="7" t="s">
        <v>102</v>
      </c>
      <c r="D67" s="8">
        <v>8454</v>
      </c>
      <c r="E67" s="9">
        <v>3</v>
      </c>
      <c r="F67" s="9">
        <v>3</v>
      </c>
      <c r="G67" s="9">
        <v>3</v>
      </c>
      <c r="H67" s="9">
        <v>3</v>
      </c>
      <c r="I67" s="10">
        <f t="shared" si="4"/>
        <v>4.3600000000000003</v>
      </c>
      <c r="J67" s="11" t="str">
        <f t="shared" si="5"/>
        <v>Critical</v>
      </c>
      <c r="K67" s="11" t="str">
        <f t="shared" si="6"/>
        <v>Block + Alert</v>
      </c>
      <c r="L67" s="12">
        <f t="shared" si="7"/>
        <v>8454</v>
      </c>
    </row>
    <row r="68" spans="2:12" ht="15" customHeight="1" x14ac:dyDescent="0.3">
      <c r="B68" s="13" t="s">
        <v>134</v>
      </c>
      <c r="C68" s="13" t="s">
        <v>104</v>
      </c>
      <c r="D68" s="14">
        <v>835</v>
      </c>
      <c r="E68" s="15">
        <v>2</v>
      </c>
      <c r="F68" s="15">
        <v>1</v>
      </c>
      <c r="G68" s="15">
        <v>1</v>
      </c>
      <c r="H68" s="15">
        <v>3</v>
      </c>
      <c r="I68" s="10">
        <f t="shared" si="4"/>
        <v>1.56</v>
      </c>
      <c r="J68" s="11" t="str">
        <f t="shared" si="5"/>
        <v>Medium</v>
      </c>
      <c r="K68" s="11" t="str">
        <f t="shared" si="6"/>
        <v>Monitor</v>
      </c>
      <c r="L68" s="12">
        <f t="shared" si="7"/>
        <v>0</v>
      </c>
    </row>
    <row r="69" spans="2:12" ht="15" customHeight="1" x14ac:dyDescent="0.3">
      <c r="B69" s="7" t="s">
        <v>135</v>
      </c>
      <c r="C69" s="7" t="s">
        <v>86</v>
      </c>
      <c r="D69" s="8">
        <v>13994</v>
      </c>
      <c r="E69" s="9">
        <v>2</v>
      </c>
      <c r="F69" s="9">
        <v>1</v>
      </c>
      <c r="G69" s="9">
        <v>1</v>
      </c>
      <c r="H69" s="9">
        <v>3</v>
      </c>
      <c r="I69" s="10">
        <f t="shared" si="4"/>
        <v>4.8499999999999996</v>
      </c>
      <c r="J69" s="11" t="str">
        <f t="shared" si="5"/>
        <v>Critical</v>
      </c>
      <c r="K69" s="11" t="str">
        <f t="shared" si="6"/>
        <v>Block + Alert</v>
      </c>
      <c r="L69" s="12">
        <f t="shared" si="7"/>
        <v>13994</v>
      </c>
    </row>
    <row r="70" spans="2:12" ht="15" customHeight="1" x14ac:dyDescent="0.3">
      <c r="B70" s="13" t="s">
        <v>136</v>
      </c>
      <c r="C70" s="13" t="s">
        <v>88</v>
      </c>
      <c r="D70" s="14">
        <v>588</v>
      </c>
      <c r="E70" s="15">
        <v>1</v>
      </c>
      <c r="F70" s="15">
        <v>3</v>
      </c>
      <c r="G70" s="15">
        <v>1</v>
      </c>
      <c r="H70" s="15">
        <v>1</v>
      </c>
      <c r="I70" s="10">
        <f t="shared" si="4"/>
        <v>1.2</v>
      </c>
      <c r="J70" s="11" t="str">
        <f t="shared" si="5"/>
        <v>Low</v>
      </c>
      <c r="K70" s="11" t="str">
        <f t="shared" si="6"/>
        <v>Allow</v>
      </c>
      <c r="L70" s="12">
        <f t="shared" si="7"/>
        <v>0</v>
      </c>
    </row>
    <row r="71" spans="2:12" ht="15" customHeight="1" x14ac:dyDescent="0.3">
      <c r="B71" s="7" t="s">
        <v>137</v>
      </c>
      <c r="C71" s="7" t="s">
        <v>90</v>
      </c>
      <c r="D71" s="8">
        <v>2113</v>
      </c>
      <c r="E71" s="9">
        <v>1</v>
      </c>
      <c r="F71" s="9">
        <v>3</v>
      </c>
      <c r="G71" s="9">
        <v>1</v>
      </c>
      <c r="H71" s="9">
        <v>3</v>
      </c>
      <c r="I71" s="10">
        <f t="shared" si="4"/>
        <v>1.98</v>
      </c>
      <c r="J71" s="11" t="str">
        <f t="shared" si="5"/>
        <v>Medium</v>
      </c>
      <c r="K71" s="11" t="str">
        <f t="shared" si="6"/>
        <v>Monitor</v>
      </c>
      <c r="L71" s="12">
        <f t="shared" si="7"/>
        <v>0</v>
      </c>
    </row>
    <row r="72" spans="2:12" ht="15" customHeight="1" x14ac:dyDescent="0.3">
      <c r="B72" s="13" t="s">
        <v>138</v>
      </c>
      <c r="C72" s="13" t="s">
        <v>92</v>
      </c>
      <c r="D72" s="14">
        <v>1651</v>
      </c>
      <c r="E72" s="15">
        <v>3</v>
      </c>
      <c r="F72" s="15">
        <v>3</v>
      </c>
      <c r="G72" s="15">
        <v>3</v>
      </c>
      <c r="H72" s="15">
        <v>3</v>
      </c>
      <c r="I72" s="10">
        <f t="shared" si="4"/>
        <v>2.66</v>
      </c>
      <c r="J72" s="11" t="str">
        <f t="shared" si="5"/>
        <v>Critical</v>
      </c>
      <c r="K72" s="11" t="str">
        <f t="shared" si="6"/>
        <v>Block + Alert</v>
      </c>
      <c r="L72" s="12">
        <f t="shared" si="7"/>
        <v>1651</v>
      </c>
    </row>
    <row r="73" spans="2:12" ht="15" customHeight="1" x14ac:dyDescent="0.3">
      <c r="B73" s="7" t="s">
        <v>139</v>
      </c>
      <c r="C73" s="7" t="s">
        <v>94</v>
      </c>
      <c r="D73" s="8">
        <v>23386</v>
      </c>
      <c r="E73" s="9">
        <v>3</v>
      </c>
      <c r="F73" s="9">
        <v>2</v>
      </c>
      <c r="G73" s="9">
        <v>1</v>
      </c>
      <c r="H73" s="9">
        <v>2</v>
      </c>
      <c r="I73" s="10">
        <f t="shared" si="4"/>
        <v>7.35</v>
      </c>
      <c r="J73" s="11" t="str">
        <f t="shared" si="5"/>
        <v>Critical</v>
      </c>
      <c r="K73" s="11" t="str">
        <f t="shared" si="6"/>
        <v>Block + Alert</v>
      </c>
      <c r="L73" s="12">
        <f t="shared" si="7"/>
        <v>23386</v>
      </c>
    </row>
    <row r="74" spans="2:12" ht="15" customHeight="1" x14ac:dyDescent="0.3">
      <c r="B74" s="13" t="s">
        <v>140</v>
      </c>
      <c r="C74" s="13" t="s">
        <v>96</v>
      </c>
      <c r="D74" s="14">
        <v>3144</v>
      </c>
      <c r="E74" s="15">
        <v>2</v>
      </c>
      <c r="F74" s="15">
        <v>1</v>
      </c>
      <c r="G74" s="15">
        <v>1</v>
      </c>
      <c r="H74" s="15">
        <v>2</v>
      </c>
      <c r="I74" s="10">
        <f t="shared" si="4"/>
        <v>1.94</v>
      </c>
      <c r="J74" s="11" t="str">
        <f t="shared" si="5"/>
        <v>Medium</v>
      </c>
      <c r="K74" s="11" t="str">
        <f t="shared" si="6"/>
        <v>Monitor</v>
      </c>
      <c r="L74" s="12">
        <f t="shared" si="7"/>
        <v>0</v>
      </c>
    </row>
    <row r="75" spans="2:12" ht="15" customHeight="1" x14ac:dyDescent="0.3">
      <c r="B75" s="7" t="s">
        <v>141</v>
      </c>
      <c r="C75" s="7" t="s">
        <v>98</v>
      </c>
      <c r="D75" s="8">
        <v>14801</v>
      </c>
      <c r="E75" s="9">
        <v>1</v>
      </c>
      <c r="F75" s="9">
        <v>3</v>
      </c>
      <c r="G75" s="9">
        <v>2</v>
      </c>
      <c r="H75" s="9">
        <v>1</v>
      </c>
      <c r="I75" s="10">
        <f t="shared" si="4"/>
        <v>4.95</v>
      </c>
      <c r="J75" s="11" t="str">
        <f t="shared" si="5"/>
        <v>Critical</v>
      </c>
      <c r="K75" s="11" t="str">
        <f t="shared" si="6"/>
        <v>Block + Alert</v>
      </c>
      <c r="L75" s="12">
        <f t="shared" si="7"/>
        <v>14801</v>
      </c>
    </row>
    <row r="76" spans="2:12" ht="15" customHeight="1" x14ac:dyDescent="0.3">
      <c r="B76" s="13" t="s">
        <v>142</v>
      </c>
      <c r="C76" s="13" t="s">
        <v>100</v>
      </c>
      <c r="D76" s="14">
        <v>2127</v>
      </c>
      <c r="E76" s="15">
        <v>2</v>
      </c>
      <c r="F76" s="15">
        <v>1</v>
      </c>
      <c r="G76" s="15">
        <v>2</v>
      </c>
      <c r="H76" s="15">
        <v>3</v>
      </c>
      <c r="I76" s="10">
        <f t="shared" si="4"/>
        <v>2.08</v>
      </c>
      <c r="J76" s="11" t="str">
        <f t="shared" si="5"/>
        <v>High</v>
      </c>
      <c r="K76" s="11" t="str">
        <f t="shared" si="6"/>
        <v>OTP Verification</v>
      </c>
      <c r="L76" s="12">
        <f t="shared" si="7"/>
        <v>2127</v>
      </c>
    </row>
    <row r="77" spans="2:12" ht="15" customHeight="1" x14ac:dyDescent="0.3">
      <c r="B77" s="7" t="s">
        <v>143</v>
      </c>
      <c r="C77" s="7" t="s">
        <v>102</v>
      </c>
      <c r="D77" s="8">
        <v>820</v>
      </c>
      <c r="E77" s="9">
        <v>3</v>
      </c>
      <c r="F77" s="9">
        <v>3</v>
      </c>
      <c r="G77" s="9">
        <v>2</v>
      </c>
      <c r="H77" s="9">
        <v>3</v>
      </c>
      <c r="I77" s="10">
        <f t="shared" si="4"/>
        <v>2.2599999999999998</v>
      </c>
      <c r="J77" s="11" t="str">
        <f t="shared" si="5"/>
        <v>High</v>
      </c>
      <c r="K77" s="11" t="str">
        <f t="shared" si="6"/>
        <v>OTP Verification</v>
      </c>
      <c r="L77" s="12">
        <f t="shared" si="7"/>
        <v>820</v>
      </c>
    </row>
    <row r="78" spans="2:12" ht="15" customHeight="1" x14ac:dyDescent="0.3">
      <c r="B78" s="13" t="s">
        <v>144</v>
      </c>
      <c r="C78" s="13" t="s">
        <v>104</v>
      </c>
      <c r="D78" s="14">
        <v>206</v>
      </c>
      <c r="E78" s="15">
        <v>1</v>
      </c>
      <c r="F78" s="15">
        <v>3</v>
      </c>
      <c r="G78" s="15">
        <v>3</v>
      </c>
      <c r="H78" s="15">
        <v>1</v>
      </c>
      <c r="I78" s="10">
        <f t="shared" si="4"/>
        <v>1.5</v>
      </c>
      <c r="J78" s="11" t="str">
        <f t="shared" si="5"/>
        <v>Medium</v>
      </c>
      <c r="K78" s="11" t="str">
        <f t="shared" si="6"/>
        <v>Monitor</v>
      </c>
      <c r="L78" s="12">
        <f t="shared" si="7"/>
        <v>0</v>
      </c>
    </row>
    <row r="80" spans="2:12" ht="24" customHeight="1" x14ac:dyDescent="0.3">
      <c r="B80" s="121" t="s">
        <v>145</v>
      </c>
      <c r="C80" s="121"/>
      <c r="D80" s="121"/>
      <c r="E80" s="121"/>
      <c r="F80" s="121"/>
      <c r="G80" s="121"/>
      <c r="H80" s="121"/>
      <c r="I80" s="121"/>
      <c r="J80" s="121"/>
      <c r="K80" s="121"/>
    </row>
    <row r="81" spans="2:12" ht="23.25" customHeight="1" x14ac:dyDescent="0.3">
      <c r="B81" s="2" t="s">
        <v>82</v>
      </c>
      <c r="C81" s="2" t="s">
        <v>146</v>
      </c>
      <c r="D81" s="2" t="s">
        <v>147</v>
      </c>
      <c r="E81" s="2" t="s">
        <v>148</v>
      </c>
    </row>
    <row r="82" spans="2:12" ht="15" customHeight="1" x14ac:dyDescent="0.3">
      <c r="B82" s="16" t="s">
        <v>149</v>
      </c>
      <c r="C82" s="17">
        <f>COUNTIF(J29:J78,"Low")</f>
        <v>9</v>
      </c>
      <c r="D82" s="18">
        <f>C82/SUM(C82:C85)</f>
        <v>0.18</v>
      </c>
      <c r="E82" s="19">
        <f>SUMIF(J29:J78,"Low",L29:L78)</f>
        <v>0</v>
      </c>
    </row>
    <row r="83" spans="2:12" ht="15" customHeight="1" x14ac:dyDescent="0.3">
      <c r="B83" s="20" t="s">
        <v>150</v>
      </c>
      <c r="C83" s="21">
        <f>COUNTIF(J29:J78,"Medium")</f>
        <v>14</v>
      </c>
      <c r="D83" s="22">
        <f>C83/SUM(C82:C85)</f>
        <v>0.28000000000000003</v>
      </c>
      <c r="E83" s="23">
        <f>SUMIF(J29:J78,"Medium",L29:L78)</f>
        <v>0</v>
      </c>
    </row>
    <row r="84" spans="2:12" ht="15" customHeight="1" x14ac:dyDescent="0.3">
      <c r="B84" s="24" t="s">
        <v>151</v>
      </c>
      <c r="C84" s="25">
        <f>COUNTIF(J29:J78,"High")</f>
        <v>6</v>
      </c>
      <c r="D84" s="26">
        <f>C84/SUM(C82:C85)</f>
        <v>0.12</v>
      </c>
      <c r="E84" s="27">
        <f>SUMIF(J29:J78,"High",L29:L78)</f>
        <v>16300</v>
      </c>
    </row>
    <row r="85" spans="2:12" ht="15" customHeight="1" x14ac:dyDescent="0.3">
      <c r="B85" s="24" t="s">
        <v>152</v>
      </c>
      <c r="C85" s="25">
        <f>COUNTIF(J29:J78,"Critical")</f>
        <v>21</v>
      </c>
      <c r="D85" s="26">
        <f>C85/SUM(C82:C85)</f>
        <v>0.42</v>
      </c>
      <c r="E85" s="27">
        <f>SUMIF(J29:J78,"Critical",L29:L78)</f>
        <v>357914</v>
      </c>
    </row>
    <row r="86" spans="2:12" ht="15" customHeight="1" x14ac:dyDescent="0.3">
      <c r="B86" s="28" t="s">
        <v>153</v>
      </c>
      <c r="C86" s="29">
        <f>SUM(C82:C85)</f>
        <v>50</v>
      </c>
      <c r="E86" s="30">
        <f>SUM(E82:E85)</f>
        <v>374214</v>
      </c>
    </row>
    <row r="88" spans="2:12" ht="15" customHeight="1" x14ac:dyDescent="0.3">
      <c r="B88" s="117" t="s">
        <v>154</v>
      </c>
      <c r="C88" s="117"/>
      <c r="D88" s="117"/>
      <c r="E88" s="31">
        <f>SUMIF(J29:J78,"High",L29:L78)+SUMIF(J29:J78,"Critical",L29:L78)</f>
        <v>374214</v>
      </c>
    </row>
    <row r="91" spans="2:12" ht="24" customHeight="1" x14ac:dyDescent="0.3">
      <c r="B91" s="118" t="s">
        <v>155</v>
      </c>
      <c r="C91" s="118"/>
      <c r="D91" s="118"/>
      <c r="E91" s="118"/>
      <c r="F91" s="118"/>
      <c r="G91" s="118"/>
      <c r="H91" s="118"/>
      <c r="I91" s="118"/>
      <c r="J91" s="118"/>
      <c r="K91" s="118"/>
    </row>
    <row r="92" spans="2:12" ht="15" customHeight="1" x14ac:dyDescent="0.3">
      <c r="B92" s="115" t="s">
        <v>156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12" ht="30" customHeight="1" x14ac:dyDescent="0.3">
      <c r="B93" s="116" t="s">
        <v>157</v>
      </c>
      <c r="C93" s="116"/>
      <c r="D93" s="116"/>
      <c r="E93" s="116"/>
      <c r="F93" s="116"/>
      <c r="G93" s="116"/>
      <c r="H93" s="116"/>
      <c r="I93" s="116"/>
      <c r="J93" s="116"/>
      <c r="K93" s="116"/>
      <c r="L93" s="116"/>
    </row>
    <row r="94" spans="2:12" ht="15" customHeight="1" x14ac:dyDescent="0.3">
      <c r="B94" s="115" t="s">
        <v>158</v>
      </c>
      <c r="C94" s="115"/>
      <c r="D94" s="115"/>
      <c r="E94" s="115"/>
      <c r="F94" s="115"/>
      <c r="G94" s="115"/>
      <c r="H94" s="115"/>
      <c r="I94" s="115"/>
      <c r="J94" s="115"/>
      <c r="K94" s="115"/>
      <c r="L94" s="115"/>
    </row>
    <row r="95" spans="2:12" ht="30" customHeight="1" x14ac:dyDescent="0.3">
      <c r="B95" s="116" t="s">
        <v>157</v>
      </c>
      <c r="C95" s="116"/>
      <c r="D95" s="116"/>
      <c r="E95" s="116"/>
      <c r="F95" s="116"/>
      <c r="G95" s="116"/>
      <c r="H95" s="116"/>
      <c r="I95" s="116"/>
      <c r="J95" s="116"/>
      <c r="K95" s="116"/>
      <c r="L95" s="116"/>
    </row>
    <row r="96" spans="2:12" ht="15" customHeight="1" x14ac:dyDescent="0.3">
      <c r="B96" s="115" t="s">
        <v>159</v>
      </c>
      <c r="C96" s="115"/>
      <c r="D96" s="115"/>
      <c r="E96" s="115"/>
      <c r="F96" s="115"/>
      <c r="G96" s="115"/>
      <c r="H96" s="115"/>
      <c r="I96" s="115"/>
      <c r="J96" s="115"/>
      <c r="K96" s="115"/>
      <c r="L96" s="115"/>
    </row>
    <row r="97" spans="2:12" ht="30" customHeight="1" x14ac:dyDescent="0.3">
      <c r="B97" s="116" t="s">
        <v>157</v>
      </c>
      <c r="C97" s="116"/>
      <c r="D97" s="116"/>
      <c r="E97" s="116"/>
      <c r="F97" s="116"/>
      <c r="G97" s="116"/>
      <c r="H97" s="116"/>
      <c r="I97" s="116"/>
      <c r="J97" s="116"/>
      <c r="K97" s="116"/>
      <c r="L97" s="116"/>
    </row>
    <row r="98" spans="2:12" ht="15" customHeight="1" x14ac:dyDescent="0.3">
      <c r="B98" s="115" t="s">
        <v>160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</row>
    <row r="99" spans="2:12" ht="30" customHeight="1" x14ac:dyDescent="0.3">
      <c r="B99" s="116" t="s">
        <v>157</v>
      </c>
      <c r="C99" s="116"/>
      <c r="D99" s="116"/>
      <c r="E99" s="116"/>
      <c r="F99" s="116"/>
      <c r="G99" s="116"/>
      <c r="H99" s="116"/>
      <c r="I99" s="116"/>
      <c r="J99" s="116"/>
      <c r="K99" s="116"/>
      <c r="L99" s="116"/>
    </row>
    <row r="100" spans="2:12" ht="15" customHeight="1" x14ac:dyDescent="0.3">
      <c r="B100" s="115" t="s">
        <v>161</v>
      </c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</row>
    <row r="101" spans="2:12" ht="30" customHeight="1" x14ac:dyDescent="0.3">
      <c r="B101" s="116" t="s">
        <v>157</v>
      </c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</row>
    <row r="103" spans="2:12" ht="15" customHeight="1" x14ac:dyDescent="0.3">
      <c r="B103" s="5" t="s">
        <v>31</v>
      </c>
    </row>
  </sheetData>
  <mergeCells count="27">
    <mergeCell ref="B2:L2"/>
    <mergeCell ref="B3:L3"/>
    <mergeCell ref="B7:K7"/>
    <mergeCell ref="B8:L8"/>
    <mergeCell ref="B9:L9"/>
    <mergeCell ref="B10:L10"/>
    <mergeCell ref="B12:K12"/>
    <mergeCell ref="B13:L13"/>
    <mergeCell ref="B14:L14"/>
    <mergeCell ref="B15:L15"/>
    <mergeCell ref="B16:L16"/>
    <mergeCell ref="B17:L17"/>
    <mergeCell ref="B19:K19"/>
    <mergeCell ref="B27:K27"/>
    <mergeCell ref="B80:K80"/>
    <mergeCell ref="B88:D88"/>
    <mergeCell ref="B91:K91"/>
    <mergeCell ref="B92:L92"/>
    <mergeCell ref="B93:L93"/>
    <mergeCell ref="B94:L94"/>
    <mergeCell ref="B100:L100"/>
    <mergeCell ref="B101:L101"/>
    <mergeCell ref="B95:L95"/>
    <mergeCell ref="B96:L96"/>
    <mergeCell ref="B97:L97"/>
    <mergeCell ref="B98:L98"/>
    <mergeCell ref="B99:L9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3"/>
  <sheetViews>
    <sheetView showGridLines="0" topLeftCell="A52" zoomScaleNormal="100" workbookViewId="0">
      <selection activeCell="C63" sqref="C63"/>
    </sheetView>
  </sheetViews>
  <sheetFormatPr defaultColWidth="8.6640625" defaultRowHeight="14.4" x14ac:dyDescent="0.3"/>
  <cols>
    <col min="1" max="1" width="3" customWidth="1"/>
    <col min="2" max="2" width="12" customWidth="1"/>
    <col min="3" max="3" width="16" customWidth="1"/>
    <col min="4" max="6" width="14" customWidth="1"/>
    <col min="7" max="7" width="16" customWidth="1"/>
    <col min="8" max="9" width="14" customWidth="1"/>
    <col min="10" max="10" width="18" customWidth="1"/>
    <col min="11" max="11" width="16" customWidth="1"/>
    <col min="12" max="12" width="14" customWidth="1"/>
  </cols>
  <sheetData>
    <row r="1" spans="1:12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.5" customHeight="1" x14ac:dyDescent="0.4">
      <c r="A2" s="1"/>
      <c r="B2" s="124" t="s">
        <v>162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1:12" ht="15" customHeight="1" x14ac:dyDescent="0.3">
      <c r="A3" s="1"/>
      <c r="B3" s="125" t="s">
        <v>163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12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spans="1:12" ht="24" customHeight="1" x14ac:dyDescent="0.3">
      <c r="B7" s="118" t="s">
        <v>34</v>
      </c>
      <c r="C7" s="118"/>
      <c r="D7" s="118"/>
      <c r="E7" s="118"/>
      <c r="F7" s="118"/>
      <c r="G7" s="118"/>
      <c r="H7" s="118"/>
      <c r="I7" s="118"/>
      <c r="J7" s="118"/>
      <c r="K7" s="118"/>
    </row>
    <row r="8" spans="1:12" ht="39.75" customHeight="1" x14ac:dyDescent="0.3">
      <c r="B8" s="127" t="s">
        <v>164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</row>
    <row r="10" spans="1:12" ht="24" customHeight="1" x14ac:dyDescent="0.3">
      <c r="B10" s="118" t="s">
        <v>165</v>
      </c>
      <c r="C10" s="118"/>
      <c r="D10" s="118"/>
      <c r="E10" s="118"/>
      <c r="F10" s="118"/>
      <c r="G10" s="118"/>
      <c r="H10" s="118"/>
      <c r="I10" s="118"/>
      <c r="J10" s="118"/>
      <c r="K10" s="118"/>
    </row>
    <row r="11" spans="1:12" ht="15" customHeight="1" x14ac:dyDescent="0.3">
      <c r="B11" s="126" t="s">
        <v>166</v>
      </c>
      <c r="C11" s="126"/>
      <c r="D11" s="126"/>
      <c r="E11" s="33">
        <v>100000</v>
      </c>
    </row>
    <row r="12" spans="1:12" ht="15" customHeight="1" x14ac:dyDescent="0.3">
      <c r="B12" s="126" t="s">
        <v>167</v>
      </c>
      <c r="C12" s="126"/>
      <c r="D12" s="126"/>
      <c r="E12" s="34">
        <v>3.0000000000000001E-3</v>
      </c>
    </row>
    <row r="13" spans="1:12" ht="15" customHeight="1" x14ac:dyDescent="0.3">
      <c r="B13" s="126" t="s">
        <v>168</v>
      </c>
      <c r="C13" s="126"/>
      <c r="D13" s="126"/>
      <c r="E13" s="34">
        <v>0.68</v>
      </c>
    </row>
    <row r="14" spans="1:12" ht="15" customHeight="1" x14ac:dyDescent="0.3">
      <c r="B14" s="126" t="s">
        <v>169</v>
      </c>
      <c r="C14" s="126"/>
      <c r="D14" s="126"/>
      <c r="E14" s="34">
        <v>0.08</v>
      </c>
    </row>
    <row r="16" spans="1:12" ht="24" customHeight="1" x14ac:dyDescent="0.3">
      <c r="B16" s="121" t="s">
        <v>170</v>
      </c>
      <c r="C16" s="121"/>
      <c r="D16" s="121"/>
      <c r="E16" s="121"/>
      <c r="F16" s="121"/>
      <c r="G16" s="121"/>
      <c r="H16" s="121"/>
      <c r="I16" s="121"/>
      <c r="J16" s="121"/>
      <c r="K16" s="121"/>
    </row>
    <row r="17" spans="2:13" ht="23.25" customHeight="1" x14ac:dyDescent="0.3">
      <c r="B17" s="2" t="s">
        <v>171</v>
      </c>
      <c r="C17" s="2" t="s">
        <v>172</v>
      </c>
      <c r="D17" s="2" t="s">
        <v>173</v>
      </c>
      <c r="E17" s="2" t="s">
        <v>174</v>
      </c>
      <c r="F17" s="2" t="s">
        <v>175</v>
      </c>
      <c r="G17" s="2" t="s">
        <v>176</v>
      </c>
      <c r="H17" s="2" t="s">
        <v>177</v>
      </c>
      <c r="I17" s="2" t="s">
        <v>178</v>
      </c>
      <c r="J17" s="2" t="s">
        <v>179</v>
      </c>
      <c r="K17" s="2" t="s">
        <v>180</v>
      </c>
      <c r="L17" s="2" t="s">
        <v>181</v>
      </c>
      <c r="M17" s="2" t="s">
        <v>182</v>
      </c>
    </row>
    <row r="18" spans="2:13" ht="15" customHeight="1" x14ac:dyDescent="0.3">
      <c r="B18" s="35" t="s">
        <v>183</v>
      </c>
      <c r="C18" s="36">
        <v>1580</v>
      </c>
      <c r="D18" s="37">
        <f>0</f>
        <v>0</v>
      </c>
      <c r="E18" s="38" t="s">
        <v>184</v>
      </c>
      <c r="F18" s="11" t="str">
        <f t="shared" ref="F18:F41" si="0">IF(E18="BUY","In Market",IF(E18="SELL","Out Market","Hold"))</f>
        <v>In Market</v>
      </c>
      <c r="G18" s="12">
        <f>E11</f>
        <v>100000</v>
      </c>
      <c r="H18" s="12">
        <f>0</f>
        <v>0</v>
      </c>
      <c r="I18" s="12">
        <f>E11</f>
        <v>100000</v>
      </c>
      <c r="J18" s="12">
        <f>0</f>
        <v>0</v>
      </c>
      <c r="K18" s="37">
        <f>(G18-E11)/E11</f>
        <v>0</v>
      </c>
      <c r="L18" s="37">
        <f>(I18-E11)/E11</f>
        <v>0</v>
      </c>
      <c r="M18" s="37">
        <f t="shared" ref="M18:M41" si="1">K18-L18</f>
        <v>0</v>
      </c>
    </row>
    <row r="19" spans="2:13" ht="15" customHeight="1" x14ac:dyDescent="0.3">
      <c r="B19" s="39" t="s">
        <v>185</v>
      </c>
      <c r="C19" s="40">
        <v>1605</v>
      </c>
      <c r="D19" s="41">
        <f t="shared" ref="D19:D41" si="2">(C19-C18)/C18</f>
        <v>1.5822784810126583E-2</v>
      </c>
      <c r="E19" s="42" t="s">
        <v>186</v>
      </c>
      <c r="F19" s="43" t="str">
        <f t="shared" si="0"/>
        <v>Hold</v>
      </c>
      <c r="G19" s="44">
        <f>IF(E19="HOLD",G18,IF(E19="BUY",G18*(1+D19)*(1-E12),G18*(1-E12)))</f>
        <v>100000</v>
      </c>
      <c r="H19" s="44">
        <f t="shared" ref="H19:H41" si="3">G19-G18</f>
        <v>0</v>
      </c>
      <c r="I19" s="44">
        <f t="shared" ref="I19:I41" si="4">I18*(1+D19)</f>
        <v>101582.27848101266</v>
      </c>
      <c r="J19" s="44">
        <f t="shared" ref="J19:J41" si="5">I19-I18</f>
        <v>1582.2784810126614</v>
      </c>
      <c r="K19" s="41">
        <f>(G19-E11)/E11</f>
        <v>0</v>
      </c>
      <c r="L19" s="41">
        <f>(I19-E11)/E11</f>
        <v>1.5822784810126615E-2</v>
      </c>
      <c r="M19" s="41">
        <f t="shared" si="1"/>
        <v>-1.5822784810126615E-2</v>
      </c>
    </row>
    <row r="20" spans="2:13" ht="15" customHeight="1" x14ac:dyDescent="0.3">
      <c r="B20" s="35" t="s">
        <v>187</v>
      </c>
      <c r="C20" s="36">
        <v>1590</v>
      </c>
      <c r="D20" s="37">
        <f t="shared" si="2"/>
        <v>-9.3457943925233638E-3</v>
      </c>
      <c r="E20" s="38" t="s">
        <v>188</v>
      </c>
      <c r="F20" s="11" t="str">
        <f t="shared" si="0"/>
        <v>Out Market</v>
      </c>
      <c r="G20" s="12">
        <f>IF(E20="HOLD",G19,IF(E20="BUY",G19*(1+D20)*(1-E12),G19*(1-E12)))</f>
        <v>99700</v>
      </c>
      <c r="H20" s="12">
        <f t="shared" si="3"/>
        <v>-300</v>
      </c>
      <c r="I20" s="12">
        <f t="shared" si="4"/>
        <v>100632.91139240506</v>
      </c>
      <c r="J20" s="12">
        <f t="shared" si="5"/>
        <v>-949.36708860759973</v>
      </c>
      <c r="K20" s="37">
        <f>(G20-E11)/E11</f>
        <v>-3.0000000000000001E-3</v>
      </c>
      <c r="L20" s="37">
        <f>(I20-E11)/E11</f>
        <v>6.3291139240506163E-3</v>
      </c>
      <c r="M20" s="37">
        <f t="shared" si="1"/>
        <v>-9.3291139240506173E-3</v>
      </c>
    </row>
    <row r="21" spans="2:13" ht="15" customHeight="1" x14ac:dyDescent="0.3">
      <c r="B21" s="39" t="s">
        <v>189</v>
      </c>
      <c r="C21" s="40">
        <v>1622</v>
      </c>
      <c r="D21" s="41">
        <f t="shared" si="2"/>
        <v>2.0125786163522012E-2</v>
      </c>
      <c r="E21" s="42" t="s">
        <v>184</v>
      </c>
      <c r="F21" s="43" t="str">
        <f t="shared" si="0"/>
        <v>In Market</v>
      </c>
      <c r="G21" s="44">
        <f>IF(E21="HOLD",G20,IF(E21="BUY",G20*(1+D21)*(1-E12),G20*(1-E12)))</f>
        <v>101401.42125786164</v>
      </c>
      <c r="H21" s="44">
        <f t="shared" si="3"/>
        <v>1701.4212578616425</v>
      </c>
      <c r="I21" s="44">
        <f t="shared" si="4"/>
        <v>102658.22784810126</v>
      </c>
      <c r="J21" s="44">
        <f t="shared" si="5"/>
        <v>2025.3164556962001</v>
      </c>
      <c r="K21" s="41">
        <f>(G21-E11)/E11</f>
        <v>1.4014212578616425E-2</v>
      </c>
      <c r="L21" s="41">
        <f>(I21-E11)/E11</f>
        <v>2.6582278481012616E-2</v>
      </c>
      <c r="M21" s="41">
        <f t="shared" si="1"/>
        <v>-1.2568065902396191E-2</v>
      </c>
    </row>
    <row r="22" spans="2:13" ht="15" customHeight="1" x14ac:dyDescent="0.3">
      <c r="B22" s="35" t="s">
        <v>190</v>
      </c>
      <c r="C22" s="36">
        <v>1618</v>
      </c>
      <c r="D22" s="37">
        <f t="shared" si="2"/>
        <v>-2.4660912453760789E-3</v>
      </c>
      <c r="E22" s="38" t="s">
        <v>186</v>
      </c>
      <c r="F22" s="11" t="str">
        <f t="shared" si="0"/>
        <v>Hold</v>
      </c>
      <c r="G22" s="12">
        <f>IF(E22="HOLD",G21,IF(E22="BUY",G21*(1+D22)*(1-E12),G21*(1-E12)))</f>
        <v>101401.42125786164</v>
      </c>
      <c r="H22" s="12">
        <f t="shared" si="3"/>
        <v>0</v>
      </c>
      <c r="I22" s="12">
        <f t="shared" si="4"/>
        <v>102405.06329113923</v>
      </c>
      <c r="J22" s="12">
        <f t="shared" si="5"/>
        <v>-253.16455696203047</v>
      </c>
      <c r="K22" s="37">
        <f>(G22-E11)/E11</f>
        <v>1.4014212578616425E-2</v>
      </c>
      <c r="L22" s="37">
        <f>(I22-E11)/E11</f>
        <v>2.4050632911392315E-2</v>
      </c>
      <c r="M22" s="37">
        <f t="shared" si="1"/>
        <v>-1.0036420332775889E-2</v>
      </c>
    </row>
    <row r="23" spans="2:13" ht="15" customHeight="1" x14ac:dyDescent="0.3">
      <c r="B23" s="39" t="s">
        <v>191</v>
      </c>
      <c r="C23" s="40">
        <v>1645</v>
      </c>
      <c r="D23" s="41">
        <f t="shared" si="2"/>
        <v>1.6687268232385661E-2</v>
      </c>
      <c r="E23" s="42" t="s">
        <v>184</v>
      </c>
      <c r="F23" s="43" t="str">
        <f t="shared" si="0"/>
        <v>In Market</v>
      </c>
      <c r="G23" s="44">
        <f>IF(E23="HOLD",G22,IF(E23="BUY",G22*(1+D23)*(1-E12),G22*(1-E12)))</f>
        <v>102784.25337161611</v>
      </c>
      <c r="H23" s="44">
        <f t="shared" si="3"/>
        <v>1382.8321137544699</v>
      </c>
      <c r="I23" s="44">
        <f t="shared" si="4"/>
        <v>104113.92405063291</v>
      </c>
      <c r="J23" s="44">
        <f t="shared" si="5"/>
        <v>1708.8607594936766</v>
      </c>
      <c r="K23" s="41">
        <f>(G23-E11)/E11</f>
        <v>2.7842533716161123E-2</v>
      </c>
      <c r="L23" s="41">
        <f>(I23-E11)/E11</f>
        <v>4.1139240506329076E-2</v>
      </c>
      <c r="M23" s="41">
        <f t="shared" si="1"/>
        <v>-1.3296706790167954E-2</v>
      </c>
    </row>
    <row r="24" spans="2:13" ht="15" customHeight="1" x14ac:dyDescent="0.3">
      <c r="B24" s="35" t="s">
        <v>192</v>
      </c>
      <c r="C24" s="36">
        <v>1630</v>
      </c>
      <c r="D24" s="37">
        <f t="shared" si="2"/>
        <v>-9.11854103343465E-3</v>
      </c>
      <c r="E24" s="38" t="s">
        <v>188</v>
      </c>
      <c r="F24" s="11" t="str">
        <f t="shared" si="0"/>
        <v>Out Market</v>
      </c>
      <c r="G24" s="12">
        <f>IF(E24="HOLD",G23,IF(E24="BUY",G23*(1+D24)*(1-E12),G23*(1-E12)))</f>
        <v>102475.90061150126</v>
      </c>
      <c r="H24" s="12">
        <f t="shared" si="3"/>
        <v>-308.35276011485257</v>
      </c>
      <c r="I24" s="12">
        <f t="shared" si="4"/>
        <v>103164.55696202531</v>
      </c>
      <c r="J24" s="12">
        <f t="shared" si="5"/>
        <v>-949.36708860759973</v>
      </c>
      <c r="K24" s="37">
        <f>(G24-E11)/E11</f>
        <v>2.4759006115012597E-2</v>
      </c>
      <c r="L24" s="37">
        <f>(I24-E11)/E11</f>
        <v>3.1645569620253083E-2</v>
      </c>
      <c r="M24" s="37">
        <f t="shared" si="1"/>
        <v>-6.8865635052404867E-3</v>
      </c>
    </row>
    <row r="25" spans="2:13" ht="15" customHeight="1" x14ac:dyDescent="0.3">
      <c r="B25" s="39" t="s">
        <v>193</v>
      </c>
      <c r="C25" s="40">
        <v>1658</v>
      </c>
      <c r="D25" s="41">
        <f t="shared" si="2"/>
        <v>1.7177914110429449E-2</v>
      </c>
      <c r="E25" s="42" t="s">
        <v>184</v>
      </c>
      <c r="F25" s="43" t="str">
        <f t="shared" si="0"/>
        <v>In Market</v>
      </c>
      <c r="G25" s="44">
        <f>IF(E25="HOLD",G24,IF(E25="BUY",G24*(1+D25)*(1-E12),G24*(1-E12)))</f>
        <v>103923.51416210273</v>
      </c>
      <c r="H25" s="44">
        <f t="shared" si="3"/>
        <v>1447.6135506014689</v>
      </c>
      <c r="I25" s="44">
        <f t="shared" si="4"/>
        <v>104936.70886075948</v>
      </c>
      <c r="J25" s="44">
        <f t="shared" si="5"/>
        <v>1772.1518987341697</v>
      </c>
      <c r="K25" s="41">
        <f>(G25-E11)/E11</f>
        <v>3.9235141621027286E-2</v>
      </c>
      <c r="L25" s="41">
        <f>(I25-E11)/E11</f>
        <v>4.9367088607594777E-2</v>
      </c>
      <c r="M25" s="41">
        <f t="shared" si="1"/>
        <v>-1.013194698656749E-2</v>
      </c>
    </row>
    <row r="26" spans="2:13" ht="15" customHeight="1" x14ac:dyDescent="0.3">
      <c r="B26" s="35" t="s">
        <v>194</v>
      </c>
      <c r="C26" s="36">
        <v>1672</v>
      </c>
      <c r="D26" s="37">
        <f t="shared" si="2"/>
        <v>8.4439083232810616E-3</v>
      </c>
      <c r="E26" s="38" t="s">
        <v>186</v>
      </c>
      <c r="F26" s="11" t="str">
        <f t="shared" si="0"/>
        <v>Hold</v>
      </c>
      <c r="G26" s="12">
        <f>IF(E26="HOLD",G25,IF(E26="BUY",G25*(1+D26)*(1-E12),G25*(1-E12)))</f>
        <v>103923.51416210273</v>
      </c>
      <c r="H26" s="12">
        <f t="shared" si="3"/>
        <v>0</v>
      </c>
      <c r="I26" s="12">
        <f t="shared" si="4"/>
        <v>105822.78481012656</v>
      </c>
      <c r="J26" s="12">
        <f t="shared" si="5"/>
        <v>886.07594936707756</v>
      </c>
      <c r="K26" s="37">
        <f>(G26-E11)/E11</f>
        <v>3.9235141621027286E-2</v>
      </c>
      <c r="L26" s="37">
        <f>(I26-E11)/E11</f>
        <v>5.8227848101265557E-2</v>
      </c>
      <c r="M26" s="37">
        <f t="shared" si="1"/>
        <v>-1.8992706480238271E-2</v>
      </c>
    </row>
    <row r="27" spans="2:13" ht="15" customHeight="1" x14ac:dyDescent="0.3">
      <c r="B27" s="39" t="s">
        <v>195</v>
      </c>
      <c r="C27" s="40">
        <v>1688</v>
      </c>
      <c r="D27" s="41">
        <f t="shared" si="2"/>
        <v>9.5693779904306216E-3</v>
      </c>
      <c r="E27" s="42" t="s">
        <v>184</v>
      </c>
      <c r="F27" s="43" t="str">
        <f t="shared" si="0"/>
        <v>In Market</v>
      </c>
      <c r="G27" s="44">
        <f>IF(E27="HOLD",G26,IF(E27="BUY",G26*(1+D27)*(1-E12),G26*(1-E12)))</f>
        <v>104603.24355856012</v>
      </c>
      <c r="H27" s="44">
        <f t="shared" si="3"/>
        <v>679.72939645739098</v>
      </c>
      <c r="I27" s="44">
        <f t="shared" si="4"/>
        <v>106835.44303797466</v>
      </c>
      <c r="J27" s="44">
        <f t="shared" si="5"/>
        <v>1012.6582278481073</v>
      </c>
      <c r="K27" s="41">
        <f>(G27-E11)/E11</f>
        <v>4.6032435585601196E-2</v>
      </c>
      <c r="L27" s="41">
        <f>(I27-E11)/E11</f>
        <v>6.8354430379746631E-2</v>
      </c>
      <c r="M27" s="41">
        <f t="shared" si="1"/>
        <v>-2.2321994794145435E-2</v>
      </c>
    </row>
    <row r="28" spans="2:13" ht="15" customHeight="1" x14ac:dyDescent="0.3">
      <c r="B28" s="35" t="s">
        <v>196</v>
      </c>
      <c r="C28" s="36">
        <v>1701</v>
      </c>
      <c r="D28" s="37">
        <f t="shared" si="2"/>
        <v>7.701421800947867E-3</v>
      </c>
      <c r="E28" s="38" t="s">
        <v>186</v>
      </c>
      <c r="F28" s="11" t="str">
        <f t="shared" si="0"/>
        <v>Hold</v>
      </c>
      <c r="G28" s="12">
        <f>IF(E28="HOLD",G27,IF(E28="BUY",G27*(1+D28)*(1-E12),G27*(1-E12)))</f>
        <v>104603.24355856012</v>
      </c>
      <c r="H28" s="12">
        <f t="shared" si="3"/>
        <v>0</v>
      </c>
      <c r="I28" s="12">
        <f t="shared" si="4"/>
        <v>107658.22784810125</v>
      </c>
      <c r="J28" s="12">
        <f t="shared" si="5"/>
        <v>822.78481012658449</v>
      </c>
      <c r="K28" s="37">
        <f>(G28-E11)/E11</f>
        <v>4.6032435585601196E-2</v>
      </c>
      <c r="L28" s="37">
        <f>(I28-E11)/E11</f>
        <v>7.658227848101247E-2</v>
      </c>
      <c r="M28" s="37">
        <f t="shared" si="1"/>
        <v>-3.0549842895411274E-2</v>
      </c>
    </row>
    <row r="29" spans="2:13" ht="15" customHeight="1" x14ac:dyDescent="0.3">
      <c r="B29" s="39" t="s">
        <v>197</v>
      </c>
      <c r="C29" s="40">
        <v>1720</v>
      </c>
      <c r="D29" s="41">
        <f t="shared" si="2"/>
        <v>1.1169900058788948E-2</v>
      </c>
      <c r="E29" s="42" t="s">
        <v>184</v>
      </c>
      <c r="F29" s="43" t="str">
        <f t="shared" si="0"/>
        <v>In Market</v>
      </c>
      <c r="G29" s="44">
        <f>IF(E29="HOLD",G28,IF(E29="BUY",G28*(1+D29)*(1-E12),G28*(1-E12)))</f>
        <v>105454.3363809296</v>
      </c>
      <c r="H29" s="44">
        <f t="shared" si="3"/>
        <v>851.09282236947911</v>
      </c>
      <c r="I29" s="44">
        <f t="shared" si="4"/>
        <v>108860.75949367088</v>
      </c>
      <c r="J29" s="44">
        <f t="shared" si="5"/>
        <v>1202.5316455696302</v>
      </c>
      <c r="K29" s="41">
        <f>(G29-E11)/E11</f>
        <v>5.4543363809295989E-2</v>
      </c>
      <c r="L29" s="41">
        <f>(I29-E11)/E11</f>
        <v>8.8607594936708778E-2</v>
      </c>
      <c r="M29" s="41">
        <f t="shared" si="1"/>
        <v>-3.4064231127412789E-2</v>
      </c>
    </row>
    <row r="30" spans="2:13" ht="15" customHeight="1" x14ac:dyDescent="0.3">
      <c r="B30" s="35" t="s">
        <v>198</v>
      </c>
      <c r="C30" s="36">
        <v>1715</v>
      </c>
      <c r="D30" s="37">
        <f t="shared" si="2"/>
        <v>-2.9069767441860465E-3</v>
      </c>
      <c r="E30" s="38" t="s">
        <v>188</v>
      </c>
      <c r="F30" s="11" t="str">
        <f t="shared" si="0"/>
        <v>Out Market</v>
      </c>
      <c r="G30" s="12">
        <f>IF(E30="HOLD",G29,IF(E30="BUY",G29*(1+D30)*(1-E12),G29*(1-E12)))</f>
        <v>105137.97337178681</v>
      </c>
      <c r="H30" s="12">
        <f t="shared" si="3"/>
        <v>-316.36300914279127</v>
      </c>
      <c r="I30" s="12">
        <f t="shared" si="4"/>
        <v>108544.30379746834</v>
      </c>
      <c r="J30" s="12">
        <f t="shared" si="5"/>
        <v>-316.45569620253809</v>
      </c>
      <c r="K30" s="37">
        <f>(G30-E11)/E11</f>
        <v>5.1379733717868074E-2</v>
      </c>
      <c r="L30" s="37">
        <f>(I30-E11)/E11</f>
        <v>8.5443037974683389E-2</v>
      </c>
      <c r="M30" s="37">
        <f t="shared" si="1"/>
        <v>-3.4063304256815315E-2</v>
      </c>
    </row>
    <row r="31" spans="2:13" ht="15" customHeight="1" x14ac:dyDescent="0.3">
      <c r="B31" s="39" t="s">
        <v>199</v>
      </c>
      <c r="C31" s="40">
        <v>1698</v>
      </c>
      <c r="D31" s="41">
        <f t="shared" si="2"/>
        <v>-9.9125364431486875E-3</v>
      </c>
      <c r="E31" s="42" t="s">
        <v>184</v>
      </c>
      <c r="F31" s="43" t="str">
        <f t="shared" si="0"/>
        <v>In Market</v>
      </c>
      <c r="G31" s="44">
        <f>IF(E31="HOLD",G30,IF(E31="BUY",G30*(1+D31)*(1-E12),G30*(1-E12)))</f>
        <v>103783.50201104264</v>
      </c>
      <c r="H31" s="44">
        <f t="shared" si="3"/>
        <v>-1354.4713607441663</v>
      </c>
      <c r="I31" s="44">
        <f t="shared" si="4"/>
        <v>107468.35443037972</v>
      </c>
      <c r="J31" s="44">
        <f t="shared" si="5"/>
        <v>-1075.949367088615</v>
      </c>
      <c r="K31" s="41">
        <f>(G31-E11)/E11</f>
        <v>3.7835020110426415E-2</v>
      </c>
      <c r="L31" s="41">
        <f>(I31-E11)/E11</f>
        <v>7.4683544303797242E-2</v>
      </c>
      <c r="M31" s="41">
        <f t="shared" si="1"/>
        <v>-3.6848524193370827E-2</v>
      </c>
    </row>
    <row r="32" spans="2:13" ht="15" customHeight="1" x14ac:dyDescent="0.3">
      <c r="B32" s="35" t="s">
        <v>200</v>
      </c>
      <c r="C32" s="36">
        <v>1725</v>
      </c>
      <c r="D32" s="37">
        <f t="shared" si="2"/>
        <v>1.5901060070671377E-2</v>
      </c>
      <c r="E32" s="38" t="s">
        <v>186</v>
      </c>
      <c r="F32" s="11" t="str">
        <f t="shared" si="0"/>
        <v>Hold</v>
      </c>
      <c r="G32" s="12">
        <f>IF(E32="HOLD",G31,IF(E32="BUY",G31*(1+D32)*(1-E12),G31*(1-E12)))</f>
        <v>103783.50201104264</v>
      </c>
      <c r="H32" s="12">
        <f t="shared" si="3"/>
        <v>0</v>
      </c>
      <c r="I32" s="12">
        <f t="shared" si="4"/>
        <v>109177.21518987339</v>
      </c>
      <c r="J32" s="12">
        <f t="shared" si="5"/>
        <v>1708.860759493662</v>
      </c>
      <c r="K32" s="37">
        <f>(G32-E11)/E11</f>
        <v>3.7835020110426415E-2</v>
      </c>
      <c r="L32" s="37">
        <f>(I32-E11)/E11</f>
        <v>9.1772151898733861E-2</v>
      </c>
      <c r="M32" s="37">
        <f t="shared" si="1"/>
        <v>-5.3937131788307446E-2</v>
      </c>
    </row>
    <row r="33" spans="2:13" ht="15" customHeight="1" x14ac:dyDescent="0.3">
      <c r="B33" s="39" t="s">
        <v>201</v>
      </c>
      <c r="C33" s="40">
        <v>1742</v>
      </c>
      <c r="D33" s="41">
        <f t="shared" si="2"/>
        <v>9.8550724637681154E-3</v>
      </c>
      <c r="E33" s="42" t="s">
        <v>184</v>
      </c>
      <c r="F33" s="43" t="str">
        <f t="shared" si="0"/>
        <v>In Market</v>
      </c>
      <c r="G33" s="44">
        <f>IF(E33="HOLD",G32,IF(E33="BUY",G32*(1+D33)*(1-E12),G32*(1-E12)))</f>
        <v>104491.87705607337</v>
      </c>
      <c r="H33" s="44">
        <f t="shared" si="3"/>
        <v>708.37504503072705</v>
      </c>
      <c r="I33" s="44">
        <f t="shared" si="4"/>
        <v>110253.16455696199</v>
      </c>
      <c r="J33" s="44">
        <f t="shared" si="5"/>
        <v>1075.9493670886004</v>
      </c>
      <c r="K33" s="41">
        <f>(G33-E11)/E11</f>
        <v>4.4918770560733685E-2</v>
      </c>
      <c r="L33" s="41">
        <f>(I33-E11)/E11</f>
        <v>0.10253164556961987</v>
      </c>
      <c r="M33" s="41">
        <f t="shared" si="1"/>
        <v>-5.7612875008886184E-2</v>
      </c>
    </row>
    <row r="34" spans="2:13" ht="15" customHeight="1" x14ac:dyDescent="0.3">
      <c r="B34" s="35" t="s">
        <v>202</v>
      </c>
      <c r="C34" s="36">
        <v>1756</v>
      </c>
      <c r="D34" s="37">
        <f t="shared" si="2"/>
        <v>8.0367393800229621E-3</v>
      </c>
      <c r="E34" s="38" t="s">
        <v>186</v>
      </c>
      <c r="F34" s="11" t="str">
        <f t="shared" si="0"/>
        <v>Hold</v>
      </c>
      <c r="G34" s="12">
        <f>IF(E34="HOLD",G33,IF(E34="BUY",G33*(1+D34)*(1-E12),G33*(1-E12)))</f>
        <v>104491.87705607337</v>
      </c>
      <c r="H34" s="12">
        <f t="shared" si="3"/>
        <v>0</v>
      </c>
      <c r="I34" s="12">
        <f t="shared" si="4"/>
        <v>111139.24050632906</v>
      </c>
      <c r="J34" s="12">
        <f t="shared" si="5"/>
        <v>886.07594936707756</v>
      </c>
      <c r="K34" s="37">
        <f>(G34-E11)/E11</f>
        <v>4.4918770560733685E-2</v>
      </c>
      <c r="L34" s="37">
        <f>(I34-E11)/E11</f>
        <v>0.11139240506329065</v>
      </c>
      <c r="M34" s="37">
        <f t="shared" si="1"/>
        <v>-6.6473634502556972E-2</v>
      </c>
    </row>
    <row r="35" spans="2:13" ht="15" customHeight="1" x14ac:dyDescent="0.3">
      <c r="B35" s="39" t="s">
        <v>203</v>
      </c>
      <c r="C35" s="40">
        <v>1770</v>
      </c>
      <c r="D35" s="41">
        <f t="shared" si="2"/>
        <v>7.972665148063782E-3</v>
      </c>
      <c r="E35" s="42" t="s">
        <v>188</v>
      </c>
      <c r="F35" s="43" t="str">
        <f t="shared" si="0"/>
        <v>Out Market</v>
      </c>
      <c r="G35" s="44">
        <f>IF(E35="HOLD",G34,IF(E35="BUY",G34*(1+D35)*(1-E12),G34*(1-E12)))</f>
        <v>104178.40142490515</v>
      </c>
      <c r="H35" s="44">
        <f t="shared" si="3"/>
        <v>-313.47563116821402</v>
      </c>
      <c r="I35" s="44">
        <f t="shared" si="4"/>
        <v>112025.31645569616</v>
      </c>
      <c r="J35" s="44">
        <f t="shared" si="5"/>
        <v>886.07594936709211</v>
      </c>
      <c r="K35" s="41">
        <f>(G35-E11)/E11</f>
        <v>4.1784014249051545E-2</v>
      </c>
      <c r="L35" s="41">
        <f>(I35-E11)/E11</f>
        <v>0.12025316455696157</v>
      </c>
      <c r="M35" s="41">
        <f t="shared" si="1"/>
        <v>-7.8469150307910018E-2</v>
      </c>
    </row>
    <row r="36" spans="2:13" ht="15" customHeight="1" x14ac:dyDescent="0.3">
      <c r="B36" s="35" t="s">
        <v>204</v>
      </c>
      <c r="C36" s="36">
        <v>1748</v>
      </c>
      <c r="D36" s="37">
        <f t="shared" si="2"/>
        <v>-1.2429378531073447E-2</v>
      </c>
      <c r="E36" s="38" t="s">
        <v>184</v>
      </c>
      <c r="F36" s="11" t="str">
        <f t="shared" si="0"/>
        <v>In Market</v>
      </c>
      <c r="G36" s="12">
        <f>IF(E36="HOLD",G35,IF(E36="BUY",G35*(1+D36)*(1-E12),G35*(1-E12)))</f>
        <v>102574.87805291639</v>
      </c>
      <c r="H36" s="12">
        <f t="shared" si="3"/>
        <v>-1603.5233719887619</v>
      </c>
      <c r="I36" s="12">
        <f t="shared" si="4"/>
        <v>110632.91139240502</v>
      </c>
      <c r="J36" s="12">
        <f t="shared" si="5"/>
        <v>-1392.4050632911385</v>
      </c>
      <c r="K36" s="37">
        <f>(G36-E11)/E11</f>
        <v>2.5748780529163923E-2</v>
      </c>
      <c r="L36" s="37">
        <f>(I36-E11)/E11</f>
        <v>0.10632911392405019</v>
      </c>
      <c r="M36" s="37">
        <f t="shared" si="1"/>
        <v>-8.0580333394886267E-2</v>
      </c>
    </row>
    <row r="37" spans="2:13" ht="15" customHeight="1" x14ac:dyDescent="0.3">
      <c r="B37" s="39" t="s">
        <v>205</v>
      </c>
      <c r="C37" s="40">
        <v>1763</v>
      </c>
      <c r="D37" s="41">
        <f t="shared" si="2"/>
        <v>8.5812356979405036E-3</v>
      </c>
      <c r="E37" s="42" t="s">
        <v>186</v>
      </c>
      <c r="F37" s="43" t="str">
        <f t="shared" si="0"/>
        <v>Hold</v>
      </c>
      <c r="G37" s="44">
        <f>IF(E37="HOLD",G36,IF(E37="BUY",G36*(1+D37)*(1-E12),G36*(1-E12)))</f>
        <v>102574.87805291639</v>
      </c>
      <c r="H37" s="44">
        <f t="shared" si="3"/>
        <v>0</v>
      </c>
      <c r="I37" s="44">
        <f t="shared" si="4"/>
        <v>111582.2784810126</v>
      </c>
      <c r="J37" s="44">
        <f t="shared" si="5"/>
        <v>949.36708860758517</v>
      </c>
      <c r="K37" s="41">
        <f>(G37-E11)/E11</f>
        <v>2.5748780529163923E-2</v>
      </c>
      <c r="L37" s="41">
        <f>(I37-E11)/E11</f>
        <v>0.11582278481012603</v>
      </c>
      <c r="M37" s="41">
        <f t="shared" si="1"/>
        <v>-9.0074004280962114E-2</v>
      </c>
    </row>
    <row r="38" spans="2:13" ht="15" customHeight="1" x14ac:dyDescent="0.3">
      <c r="B38" s="35" t="s">
        <v>206</v>
      </c>
      <c r="C38" s="36">
        <v>1778</v>
      </c>
      <c r="D38" s="37">
        <f t="shared" si="2"/>
        <v>8.5082246171298923E-3</v>
      </c>
      <c r="E38" s="38" t="s">
        <v>184</v>
      </c>
      <c r="F38" s="11" t="str">
        <f t="shared" si="0"/>
        <v>In Market</v>
      </c>
      <c r="G38" s="12">
        <f>IF(E38="HOLD",G37,IF(E38="BUY",G37*(1+D38)*(1-E12),G37*(1-E12)))</f>
        <v>103137.26533099893</v>
      </c>
      <c r="H38" s="12">
        <f t="shared" si="3"/>
        <v>562.38727808253316</v>
      </c>
      <c r="I38" s="12">
        <f t="shared" si="4"/>
        <v>112531.6455696202</v>
      </c>
      <c r="J38" s="12">
        <f t="shared" si="5"/>
        <v>949.36708860759973</v>
      </c>
      <c r="K38" s="37">
        <f>(G38-E11)/E11</f>
        <v>3.1372653309989257E-2</v>
      </c>
      <c r="L38" s="37">
        <f>(I38-E11)/E11</f>
        <v>0.12531645569620203</v>
      </c>
      <c r="M38" s="37">
        <f t="shared" si="1"/>
        <v>-9.3943802386212777E-2</v>
      </c>
    </row>
    <row r="39" spans="2:13" ht="15" customHeight="1" x14ac:dyDescent="0.3">
      <c r="B39" s="39" t="s">
        <v>207</v>
      </c>
      <c r="C39" s="40">
        <v>1792</v>
      </c>
      <c r="D39" s="41">
        <f t="shared" si="2"/>
        <v>7.874015748031496E-3</v>
      </c>
      <c r="E39" s="42" t="s">
        <v>186</v>
      </c>
      <c r="F39" s="43" t="str">
        <f t="shared" si="0"/>
        <v>Hold</v>
      </c>
      <c r="G39" s="44">
        <f>IF(E39="HOLD",G38,IF(E39="BUY",G38*(1+D39)*(1-E12),G38*(1-E12)))</f>
        <v>103137.26533099893</v>
      </c>
      <c r="H39" s="44">
        <f t="shared" si="3"/>
        <v>0</v>
      </c>
      <c r="I39" s="44">
        <f t="shared" si="4"/>
        <v>113417.72151898729</v>
      </c>
      <c r="J39" s="44">
        <f t="shared" si="5"/>
        <v>886.07594936709211</v>
      </c>
      <c r="K39" s="41">
        <f>(G39-E11)/E11</f>
        <v>3.1372653309989257E-2</v>
      </c>
      <c r="L39" s="41">
        <f>(I39-E11)/E11</f>
        <v>0.13417721518987294</v>
      </c>
      <c r="M39" s="41">
        <f t="shared" si="1"/>
        <v>-0.10280456187988368</v>
      </c>
    </row>
    <row r="40" spans="2:13" ht="15" customHeight="1" x14ac:dyDescent="0.3">
      <c r="B40" s="35" t="s">
        <v>208</v>
      </c>
      <c r="C40" s="36">
        <v>1808</v>
      </c>
      <c r="D40" s="37">
        <f t="shared" si="2"/>
        <v>8.9285714285714281E-3</v>
      </c>
      <c r="E40" s="38" t="s">
        <v>184</v>
      </c>
      <c r="F40" s="11" t="str">
        <f t="shared" si="0"/>
        <v>In Market</v>
      </c>
      <c r="G40" s="12">
        <f>IF(E40="HOLD",G39,IF(E40="BUY",G39*(1+D40)*(1-E12),G39*(1-E12)))</f>
        <v>103745.95937013991</v>
      </c>
      <c r="H40" s="12">
        <f t="shared" si="3"/>
        <v>608.69403914098802</v>
      </c>
      <c r="I40" s="12">
        <f t="shared" si="4"/>
        <v>114430.37974683539</v>
      </c>
      <c r="J40" s="12">
        <f t="shared" si="5"/>
        <v>1012.6582278480928</v>
      </c>
      <c r="K40" s="37">
        <f>(G40-E11)/E11</f>
        <v>3.7459593701399133E-2</v>
      </c>
      <c r="L40" s="37">
        <f>(I40-E11)/E11</f>
        <v>0.14430379746835387</v>
      </c>
      <c r="M40" s="37">
        <f t="shared" si="1"/>
        <v>-0.10684420376695473</v>
      </c>
    </row>
    <row r="41" spans="2:13" ht="15" customHeight="1" x14ac:dyDescent="0.3">
      <c r="B41" s="39" t="s">
        <v>209</v>
      </c>
      <c r="C41" s="40">
        <v>1825</v>
      </c>
      <c r="D41" s="41">
        <f t="shared" si="2"/>
        <v>9.4026548672566379E-3</v>
      </c>
      <c r="E41" s="42" t="s">
        <v>186</v>
      </c>
      <c r="F41" s="43" t="str">
        <f t="shared" si="0"/>
        <v>Hold</v>
      </c>
      <c r="G41" s="44">
        <f>IF(E41="HOLD",G40,IF(E41="BUY",G40*(1+D41)*(1-E12),G40*(1-E12)))</f>
        <v>103745.95937013991</v>
      </c>
      <c r="H41" s="44">
        <f t="shared" si="3"/>
        <v>0</v>
      </c>
      <c r="I41" s="44">
        <f t="shared" si="4"/>
        <v>115506.32911392399</v>
      </c>
      <c r="J41" s="44">
        <f t="shared" si="5"/>
        <v>1075.9493670886004</v>
      </c>
      <c r="K41" s="41">
        <f>(G41-E11)/E11</f>
        <v>3.7459593701399133E-2</v>
      </c>
      <c r="L41" s="41">
        <f>(I41-E11)/E11</f>
        <v>0.15506329113923989</v>
      </c>
      <c r="M41" s="41">
        <f t="shared" si="1"/>
        <v>-0.11760369743784076</v>
      </c>
    </row>
    <row r="43" spans="2:13" ht="24" customHeight="1" x14ac:dyDescent="0.3">
      <c r="B43" s="121" t="s">
        <v>210</v>
      </c>
      <c r="C43" s="121"/>
      <c r="D43" s="121"/>
      <c r="E43" s="121"/>
      <c r="F43" s="121"/>
      <c r="G43" s="121"/>
      <c r="H43" s="121"/>
      <c r="I43" s="121"/>
      <c r="J43" s="121"/>
      <c r="K43" s="121"/>
    </row>
    <row r="44" spans="2:13" ht="15" customHeight="1" x14ac:dyDescent="0.3">
      <c r="B44" s="2" t="s">
        <v>211</v>
      </c>
      <c r="C44" s="2" t="s">
        <v>212</v>
      </c>
      <c r="D44" s="2" t="s">
        <v>213</v>
      </c>
    </row>
    <row r="45" spans="2:13" ht="34.5" customHeight="1" x14ac:dyDescent="0.3">
      <c r="B45" s="45" t="s">
        <v>214</v>
      </c>
      <c r="C45" s="31">
        <f>G41</f>
        <v>103745.95937013991</v>
      </c>
      <c r="D45" s="44">
        <f>I41</f>
        <v>115506.32911392399</v>
      </c>
    </row>
    <row r="46" spans="2:13" ht="23.25" customHeight="1" x14ac:dyDescent="0.3">
      <c r="B46" s="46" t="s">
        <v>215</v>
      </c>
      <c r="C46" s="47">
        <f>K41</f>
        <v>3.7459593701399133E-2</v>
      </c>
      <c r="D46" s="37">
        <f>L41</f>
        <v>0.15506329113923989</v>
      </c>
    </row>
    <row r="47" spans="2:13" ht="23.25" customHeight="1" x14ac:dyDescent="0.3">
      <c r="B47" s="45" t="s">
        <v>216</v>
      </c>
      <c r="C47" s="31">
        <f>MAX(H18:H41)</f>
        <v>1701.4212578616425</v>
      </c>
      <c r="D47" s="44">
        <f>MAX(J18:J41)</f>
        <v>2025.3164556962001</v>
      </c>
    </row>
    <row r="48" spans="2:13" ht="23.25" customHeight="1" x14ac:dyDescent="0.3">
      <c r="B48" s="46" t="s">
        <v>217</v>
      </c>
      <c r="C48" s="31">
        <f>MIN(H18:H41)</f>
        <v>-1603.5233719887619</v>
      </c>
      <c r="D48" s="12">
        <f>MIN(J18:J41)</f>
        <v>-1392.4050632911385</v>
      </c>
    </row>
    <row r="49" spans="2:12" ht="23.25" customHeight="1" x14ac:dyDescent="0.3">
      <c r="B49" s="45" t="s">
        <v>218</v>
      </c>
      <c r="C49" s="48">
        <f>COUNTIF(E18:E41,"BUY")+COUNTIF(E18:E41,"SELL")</f>
        <v>15</v>
      </c>
      <c r="D49" s="49" t="s">
        <v>219</v>
      </c>
    </row>
    <row r="50" spans="2:12" ht="34.5" customHeight="1" x14ac:dyDescent="0.3">
      <c r="B50" s="46" t="s">
        <v>220</v>
      </c>
      <c r="C50" s="47">
        <f>M41</f>
        <v>-0.11760369743784076</v>
      </c>
      <c r="D50" s="50" t="s">
        <v>221</v>
      </c>
    </row>
    <row r="53" spans="2:12" ht="24" customHeight="1" x14ac:dyDescent="0.3">
      <c r="B53" s="118" t="s">
        <v>155</v>
      </c>
      <c r="C53" s="118"/>
      <c r="D53" s="118"/>
      <c r="E53" s="118"/>
      <c r="F53" s="118"/>
      <c r="G53" s="118"/>
      <c r="H53" s="118"/>
      <c r="I53" s="118"/>
      <c r="J53" s="118"/>
      <c r="K53" s="118"/>
    </row>
    <row r="54" spans="2:12" ht="15" customHeight="1" x14ac:dyDescent="0.3">
      <c r="B54" s="115" t="s">
        <v>222</v>
      </c>
      <c r="C54" s="115"/>
      <c r="D54" s="115"/>
      <c r="E54" s="115"/>
      <c r="F54" s="115"/>
      <c r="G54" s="115"/>
      <c r="H54" s="115"/>
      <c r="I54" s="115"/>
      <c r="J54" s="115"/>
      <c r="K54" s="115"/>
      <c r="L54" s="115"/>
    </row>
    <row r="55" spans="2:12" ht="27.75" customHeight="1" x14ac:dyDescent="0.3">
      <c r="B55" s="116" t="s">
        <v>157</v>
      </c>
      <c r="C55" s="116"/>
      <c r="D55" s="116"/>
      <c r="E55" s="116"/>
      <c r="F55" s="116"/>
      <c r="G55" s="116"/>
      <c r="H55" s="116"/>
      <c r="I55" s="116"/>
      <c r="J55" s="116"/>
      <c r="K55" s="116"/>
      <c r="L55" s="116"/>
    </row>
    <row r="56" spans="2:12" ht="15" customHeight="1" x14ac:dyDescent="0.3">
      <c r="B56" s="115" t="s">
        <v>223</v>
      </c>
      <c r="C56" s="115"/>
      <c r="D56" s="115"/>
      <c r="E56" s="115"/>
      <c r="F56" s="115"/>
      <c r="G56" s="115"/>
      <c r="H56" s="115"/>
      <c r="I56" s="115"/>
      <c r="J56" s="115"/>
      <c r="K56" s="115"/>
      <c r="L56" s="115"/>
    </row>
    <row r="57" spans="2:12" ht="27.75" customHeight="1" x14ac:dyDescent="0.3">
      <c r="B57" s="116" t="s">
        <v>157</v>
      </c>
      <c r="C57" s="116"/>
      <c r="D57" s="116"/>
      <c r="E57" s="116"/>
      <c r="F57" s="116"/>
      <c r="G57" s="116"/>
      <c r="H57" s="116"/>
      <c r="I57" s="116"/>
      <c r="J57" s="116"/>
      <c r="K57" s="116"/>
      <c r="L57" s="116"/>
    </row>
    <row r="58" spans="2:12" ht="15" customHeight="1" x14ac:dyDescent="0.3">
      <c r="B58" s="115" t="s">
        <v>224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15"/>
    </row>
    <row r="59" spans="2:12" ht="27.75" customHeight="1" x14ac:dyDescent="0.3">
      <c r="B59" s="116" t="s">
        <v>157</v>
      </c>
      <c r="C59" s="116"/>
      <c r="D59" s="116"/>
      <c r="E59" s="116"/>
      <c r="F59" s="116"/>
      <c r="G59" s="116"/>
      <c r="H59" s="116"/>
      <c r="I59" s="116"/>
      <c r="J59" s="116"/>
      <c r="K59" s="116"/>
      <c r="L59" s="116"/>
    </row>
    <row r="60" spans="2:12" ht="15" customHeight="1" x14ac:dyDescent="0.3">
      <c r="B60" s="115" t="s">
        <v>225</v>
      </c>
      <c r="C60" s="115"/>
      <c r="D60" s="115"/>
      <c r="E60" s="115"/>
      <c r="F60" s="115"/>
      <c r="G60" s="115"/>
      <c r="H60" s="115"/>
      <c r="I60" s="115"/>
      <c r="J60" s="115"/>
      <c r="K60" s="115"/>
      <c r="L60" s="115"/>
    </row>
    <row r="61" spans="2:12" ht="27.75" customHeight="1" x14ac:dyDescent="0.3">
      <c r="B61" s="116" t="s">
        <v>157</v>
      </c>
      <c r="C61" s="116"/>
      <c r="D61" s="116"/>
      <c r="E61" s="116"/>
      <c r="F61" s="116"/>
      <c r="G61" s="116"/>
      <c r="H61" s="116"/>
      <c r="I61" s="116"/>
      <c r="J61" s="116"/>
      <c r="K61" s="116"/>
      <c r="L61" s="116"/>
    </row>
    <row r="63" spans="2:12" ht="15" customHeight="1" x14ac:dyDescent="0.3">
      <c r="B63" s="5" t="s">
        <v>31</v>
      </c>
    </row>
  </sheetData>
  <mergeCells count="20">
    <mergeCell ref="B2:L2"/>
    <mergeCell ref="B3:L3"/>
    <mergeCell ref="B7:K7"/>
    <mergeCell ref="B8:L8"/>
    <mergeCell ref="B10:K10"/>
    <mergeCell ref="B11:D11"/>
    <mergeCell ref="B12:D12"/>
    <mergeCell ref="B13:D13"/>
    <mergeCell ref="B14:D14"/>
    <mergeCell ref="B16:K16"/>
    <mergeCell ref="B43:K43"/>
    <mergeCell ref="B53:K53"/>
    <mergeCell ref="B54:L54"/>
    <mergeCell ref="B55:L55"/>
    <mergeCell ref="B56:L56"/>
    <mergeCell ref="B57:L57"/>
    <mergeCell ref="B58:L58"/>
    <mergeCell ref="B59:L59"/>
    <mergeCell ref="B60:L60"/>
    <mergeCell ref="B61:L6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showGridLines="0" topLeftCell="A28" zoomScaleNormal="100" workbookViewId="0">
      <selection activeCell="H12" sqref="H12"/>
    </sheetView>
  </sheetViews>
  <sheetFormatPr defaultColWidth="8.6640625" defaultRowHeight="14.4" x14ac:dyDescent="0.3"/>
  <cols>
    <col min="1" max="1" width="3" customWidth="1"/>
    <col min="2" max="2" width="20" customWidth="1"/>
    <col min="3" max="8" width="18" customWidth="1"/>
    <col min="9" max="9" width="16" customWidth="1"/>
  </cols>
  <sheetData>
    <row r="1" spans="1:9" ht="15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19.5" customHeight="1" x14ac:dyDescent="0.4">
      <c r="A2" s="1"/>
      <c r="B2" s="124" t="s">
        <v>226</v>
      </c>
      <c r="C2" s="124"/>
      <c r="D2" s="124"/>
      <c r="E2" s="124"/>
      <c r="F2" s="124"/>
      <c r="G2" s="124"/>
      <c r="H2" s="124"/>
      <c r="I2" s="124"/>
    </row>
    <row r="3" spans="1:9" ht="15" customHeight="1" x14ac:dyDescent="0.3">
      <c r="A3" s="1"/>
      <c r="B3" s="125" t="s">
        <v>227</v>
      </c>
      <c r="C3" s="125"/>
      <c r="D3" s="125"/>
      <c r="E3" s="125"/>
      <c r="F3" s="125"/>
      <c r="G3" s="125"/>
      <c r="H3" s="125"/>
      <c r="I3" s="125"/>
    </row>
    <row r="4" spans="1:9" ht="15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5" customHeight="1" x14ac:dyDescent="0.3">
      <c r="A5" s="1"/>
      <c r="B5" s="1"/>
      <c r="C5" s="1"/>
      <c r="D5" s="1"/>
      <c r="E5" s="1"/>
      <c r="F5" s="1"/>
      <c r="G5" s="1"/>
      <c r="H5" s="1"/>
      <c r="I5" s="1"/>
    </row>
    <row r="7" spans="1:9" ht="24" customHeight="1" x14ac:dyDescent="0.3">
      <c r="B7" s="118" t="s">
        <v>34</v>
      </c>
      <c r="C7" s="118"/>
      <c r="D7" s="118"/>
      <c r="E7" s="118"/>
      <c r="F7" s="118"/>
      <c r="G7" s="118"/>
      <c r="H7" s="118"/>
      <c r="I7" s="118"/>
    </row>
    <row r="8" spans="1:9" ht="36" customHeight="1" x14ac:dyDescent="0.3">
      <c r="B8" s="128" t="s">
        <v>228</v>
      </c>
      <c r="C8" s="128"/>
      <c r="D8" s="128"/>
      <c r="E8" s="128"/>
      <c r="F8" s="128"/>
      <c r="G8" s="128"/>
      <c r="H8" s="128"/>
      <c r="I8" s="128"/>
    </row>
    <row r="10" spans="1:9" ht="24" customHeight="1" x14ac:dyDescent="0.3">
      <c r="B10" s="121" t="s">
        <v>229</v>
      </c>
      <c r="C10" s="121"/>
      <c r="D10" s="121"/>
      <c r="E10" s="121"/>
      <c r="F10" s="121"/>
      <c r="G10" s="121"/>
      <c r="H10" s="121"/>
      <c r="I10" s="121"/>
    </row>
    <row r="11" spans="1:9" ht="15" customHeight="1" x14ac:dyDescent="0.3">
      <c r="B11" s="2" t="s">
        <v>211</v>
      </c>
      <c r="C11" s="2" t="s">
        <v>230</v>
      </c>
      <c r="D11" s="2" t="s">
        <v>231</v>
      </c>
      <c r="E11" s="2" t="s">
        <v>232</v>
      </c>
      <c r="F11" s="2" t="s">
        <v>233</v>
      </c>
      <c r="G11" s="2" t="s">
        <v>234</v>
      </c>
      <c r="H11" s="2" t="s">
        <v>235</v>
      </c>
      <c r="I11" s="2" t="s">
        <v>236</v>
      </c>
    </row>
    <row r="12" spans="1:9" ht="23.25" customHeight="1" x14ac:dyDescent="0.3">
      <c r="B12" s="45" t="s">
        <v>237</v>
      </c>
      <c r="C12" s="40">
        <v>72</v>
      </c>
      <c r="D12" s="40">
        <v>4</v>
      </c>
      <c r="E12" s="51">
        <f t="shared" ref="E12:E19" si="0">D12-C12</f>
        <v>-68</v>
      </c>
      <c r="F12" s="52">
        <f t="shared" ref="F12:F19" si="1">ABS((D12-C12)/C12)</f>
        <v>0.94444444444444442</v>
      </c>
      <c r="G12" s="53">
        <v>6</v>
      </c>
      <c r="H12" s="43" t="str">
        <f>IF(D12&gt;=G12,"✅ Met","⚠️ Review")</f>
        <v>⚠️ Review</v>
      </c>
      <c r="I12" s="54" t="s">
        <v>238</v>
      </c>
    </row>
    <row r="13" spans="1:9" ht="23.25" customHeight="1" x14ac:dyDescent="0.3">
      <c r="B13" s="46" t="s">
        <v>239</v>
      </c>
      <c r="C13" s="34">
        <v>0.82</v>
      </c>
      <c r="D13" s="34">
        <v>0.97</v>
      </c>
      <c r="E13" s="55">
        <f t="shared" si="0"/>
        <v>0.15000000000000002</v>
      </c>
      <c r="F13" s="55">
        <f t="shared" si="1"/>
        <v>0.18292682926829273</v>
      </c>
      <c r="G13" s="34">
        <v>0.95</v>
      </c>
      <c r="H13" s="11" t="str">
        <f>IF(D13&gt;=G13,"✅ Met","❌ Below Target")</f>
        <v>✅ Met</v>
      </c>
      <c r="I13" s="56" t="s">
        <v>240</v>
      </c>
    </row>
    <row r="14" spans="1:9" ht="23.25" customHeight="1" x14ac:dyDescent="0.3">
      <c r="B14" s="45" t="s">
        <v>241</v>
      </c>
      <c r="C14" s="57">
        <v>0.12</v>
      </c>
      <c r="D14" s="57">
        <v>0.03</v>
      </c>
      <c r="E14" s="52">
        <f t="shared" si="0"/>
        <v>-0.09</v>
      </c>
      <c r="F14" s="52">
        <f t="shared" si="1"/>
        <v>0.75</v>
      </c>
      <c r="G14" s="57">
        <v>0.05</v>
      </c>
      <c r="H14" s="43" t="str">
        <f>IF(D14&gt;=G14,"✅ Met","❌ Below Target")</f>
        <v>❌ Below Target</v>
      </c>
      <c r="I14" s="54" t="s">
        <v>242</v>
      </c>
    </row>
    <row r="15" spans="1:9" ht="23.25" customHeight="1" x14ac:dyDescent="0.3">
      <c r="B15" s="46" t="s">
        <v>243</v>
      </c>
      <c r="C15" s="36">
        <v>85</v>
      </c>
      <c r="D15" s="36">
        <v>12</v>
      </c>
      <c r="E15" s="58">
        <f t="shared" si="0"/>
        <v>-73</v>
      </c>
      <c r="F15" s="55">
        <f t="shared" si="1"/>
        <v>0.85882352941176465</v>
      </c>
      <c r="G15" s="33">
        <v>20</v>
      </c>
      <c r="H15" s="11" t="str">
        <f>IF(D15&gt;=G15,"✅ Met","⚠️ Review")</f>
        <v>⚠️ Review</v>
      </c>
      <c r="I15" s="56" t="s">
        <v>244</v>
      </c>
    </row>
    <row r="16" spans="1:9" ht="23.25" customHeight="1" x14ac:dyDescent="0.3">
      <c r="B16" s="45" t="s">
        <v>245</v>
      </c>
      <c r="C16" s="57">
        <v>0.35</v>
      </c>
      <c r="D16" s="57">
        <v>0.08</v>
      </c>
      <c r="E16" s="52">
        <f t="shared" si="0"/>
        <v>-0.26999999999999996</v>
      </c>
      <c r="F16" s="52">
        <f t="shared" si="1"/>
        <v>0.77142857142857135</v>
      </c>
      <c r="G16" s="57">
        <v>0.15</v>
      </c>
      <c r="H16" s="43" t="str">
        <f>IF(D16&gt;=G16,"✅ Met","❌ Below Target")</f>
        <v>❌ Below Target</v>
      </c>
      <c r="I16" s="54" t="s">
        <v>246</v>
      </c>
    </row>
    <row r="17" spans="2:9" ht="23.25" customHeight="1" x14ac:dyDescent="0.3">
      <c r="B17" s="46" t="s">
        <v>247</v>
      </c>
      <c r="C17" s="36">
        <v>50</v>
      </c>
      <c r="D17" s="36">
        <v>2000</v>
      </c>
      <c r="E17" s="58">
        <f t="shared" si="0"/>
        <v>1950</v>
      </c>
      <c r="F17" s="55">
        <f t="shared" si="1"/>
        <v>39</v>
      </c>
      <c r="G17" s="33">
        <v>500</v>
      </c>
      <c r="H17" s="11" t="str">
        <f>IF(D17&gt;=G17,"✅ Met","⚠️ Review")</f>
        <v>✅ Met</v>
      </c>
      <c r="I17" s="56" t="s">
        <v>248</v>
      </c>
    </row>
    <row r="18" spans="2:9" ht="23.25" customHeight="1" x14ac:dyDescent="0.3">
      <c r="B18" s="45" t="s">
        <v>249</v>
      </c>
      <c r="C18" s="57">
        <v>0.91</v>
      </c>
      <c r="D18" s="57">
        <v>0.99</v>
      </c>
      <c r="E18" s="52">
        <f t="shared" si="0"/>
        <v>7.999999999999996E-2</v>
      </c>
      <c r="F18" s="52">
        <f t="shared" si="1"/>
        <v>8.7912087912087863E-2</v>
      </c>
      <c r="G18" s="57">
        <v>0.95</v>
      </c>
      <c r="H18" s="43" t="str">
        <f>IF(D18&gt;=G18,"✅ Met","❌ Below Target")</f>
        <v>✅ Met</v>
      </c>
      <c r="I18" s="54" t="s">
        <v>250</v>
      </c>
    </row>
    <row r="19" spans="2:9" ht="23.25" customHeight="1" x14ac:dyDescent="0.3">
      <c r="B19" s="46" t="s">
        <v>251</v>
      </c>
      <c r="C19" s="36">
        <v>180</v>
      </c>
      <c r="D19" s="36">
        <v>8</v>
      </c>
      <c r="E19" s="58">
        <f t="shared" si="0"/>
        <v>-172</v>
      </c>
      <c r="F19" s="55">
        <f t="shared" si="1"/>
        <v>0.9555555555555556</v>
      </c>
      <c r="G19" s="33">
        <v>50</v>
      </c>
      <c r="H19" s="11" t="str">
        <f>IF(D19&gt;=G19,"✅ Met","⚠️ Review")</f>
        <v>⚠️ Review</v>
      </c>
      <c r="I19" s="56" t="s">
        <v>252</v>
      </c>
    </row>
    <row r="22" spans="2:9" ht="24" customHeight="1" x14ac:dyDescent="0.3">
      <c r="B22" s="121" t="s">
        <v>253</v>
      </c>
      <c r="C22" s="121"/>
      <c r="D22" s="121"/>
      <c r="E22" s="121"/>
      <c r="F22" s="121"/>
      <c r="G22" s="121"/>
      <c r="H22" s="121"/>
      <c r="I22" s="121"/>
    </row>
    <row r="23" spans="2:9" ht="15" customHeight="1" x14ac:dyDescent="0.3">
      <c r="B23" s="2" t="s">
        <v>171</v>
      </c>
      <c r="C23" s="2" t="s">
        <v>230</v>
      </c>
      <c r="D23" s="2" t="s">
        <v>231</v>
      </c>
      <c r="E23" s="2" t="s">
        <v>254</v>
      </c>
      <c r="F23" s="2" t="s">
        <v>255</v>
      </c>
      <c r="G23" s="2" t="s">
        <v>256</v>
      </c>
      <c r="H23" s="2" t="s">
        <v>257</v>
      </c>
    </row>
    <row r="24" spans="2:9" ht="15" customHeight="1" x14ac:dyDescent="0.3">
      <c r="B24" s="59" t="s">
        <v>258</v>
      </c>
      <c r="C24" s="33">
        <v>320</v>
      </c>
      <c r="D24" s="33">
        <v>50</v>
      </c>
      <c r="E24" s="12">
        <f t="shared" ref="E24:E35" si="2">C24+D24</f>
        <v>370</v>
      </c>
      <c r="F24" s="55">
        <f t="shared" ref="F24:F36" si="3">D24/E24</f>
        <v>0.13513513513513514</v>
      </c>
      <c r="G24" s="12">
        <f t="shared" ref="G24:G35" si="4">D24*(85-12)</f>
        <v>3650</v>
      </c>
      <c r="H24" s="12">
        <f t="shared" ref="H24:H35" si="5">D24*(180/100-8/100)*100</f>
        <v>8600</v>
      </c>
    </row>
    <row r="25" spans="2:9" ht="15" customHeight="1" x14ac:dyDescent="0.3">
      <c r="B25" s="60" t="s">
        <v>259</v>
      </c>
      <c r="C25" s="53">
        <v>298</v>
      </c>
      <c r="D25" s="53">
        <v>120</v>
      </c>
      <c r="E25" s="44">
        <f t="shared" si="2"/>
        <v>418</v>
      </c>
      <c r="F25" s="52">
        <f t="shared" si="3"/>
        <v>0.28708133971291866</v>
      </c>
      <c r="G25" s="44">
        <f t="shared" si="4"/>
        <v>8760</v>
      </c>
      <c r="H25" s="44">
        <f t="shared" si="5"/>
        <v>20640</v>
      </c>
    </row>
    <row r="26" spans="2:9" ht="15" customHeight="1" x14ac:dyDescent="0.3">
      <c r="B26" s="59" t="s">
        <v>260</v>
      </c>
      <c r="C26" s="33">
        <v>312</v>
      </c>
      <c r="D26" s="33">
        <v>180</v>
      </c>
      <c r="E26" s="12">
        <f t="shared" si="2"/>
        <v>492</v>
      </c>
      <c r="F26" s="55">
        <f t="shared" si="3"/>
        <v>0.36585365853658536</v>
      </c>
      <c r="G26" s="12">
        <f t="shared" si="4"/>
        <v>13140</v>
      </c>
      <c r="H26" s="12">
        <f t="shared" si="5"/>
        <v>30960.000000000004</v>
      </c>
    </row>
    <row r="27" spans="2:9" ht="15" customHeight="1" x14ac:dyDescent="0.3">
      <c r="B27" s="60" t="s">
        <v>261</v>
      </c>
      <c r="C27" s="53">
        <v>285</v>
      </c>
      <c r="D27" s="53">
        <v>250</v>
      </c>
      <c r="E27" s="44">
        <f t="shared" si="2"/>
        <v>535</v>
      </c>
      <c r="F27" s="52">
        <f t="shared" si="3"/>
        <v>0.46728971962616822</v>
      </c>
      <c r="G27" s="44">
        <f t="shared" si="4"/>
        <v>18250</v>
      </c>
      <c r="H27" s="44">
        <f t="shared" si="5"/>
        <v>43000</v>
      </c>
    </row>
    <row r="28" spans="2:9" ht="15" customHeight="1" x14ac:dyDescent="0.3">
      <c r="B28" s="59" t="s">
        <v>262</v>
      </c>
      <c r="C28" s="33">
        <v>240</v>
      </c>
      <c r="D28" s="33">
        <v>310</v>
      </c>
      <c r="E28" s="12">
        <f t="shared" si="2"/>
        <v>550</v>
      </c>
      <c r="F28" s="55">
        <f t="shared" si="3"/>
        <v>0.5636363636363636</v>
      </c>
      <c r="G28" s="12">
        <f t="shared" si="4"/>
        <v>22630</v>
      </c>
      <c r="H28" s="12">
        <f t="shared" si="5"/>
        <v>53320.000000000007</v>
      </c>
    </row>
    <row r="29" spans="2:9" ht="15" customHeight="1" x14ac:dyDescent="0.3">
      <c r="B29" s="60" t="s">
        <v>263</v>
      </c>
      <c r="C29" s="53">
        <v>190</v>
      </c>
      <c r="D29" s="53">
        <v>380</v>
      </c>
      <c r="E29" s="44">
        <f t="shared" si="2"/>
        <v>570</v>
      </c>
      <c r="F29" s="52">
        <f t="shared" si="3"/>
        <v>0.66666666666666663</v>
      </c>
      <c r="G29" s="44">
        <f t="shared" si="4"/>
        <v>27740</v>
      </c>
      <c r="H29" s="44">
        <f t="shared" si="5"/>
        <v>65360</v>
      </c>
    </row>
    <row r="30" spans="2:9" ht="15" customHeight="1" x14ac:dyDescent="0.3">
      <c r="B30" s="59" t="s">
        <v>264</v>
      </c>
      <c r="C30" s="33">
        <v>150</v>
      </c>
      <c r="D30" s="33">
        <v>450</v>
      </c>
      <c r="E30" s="12">
        <f t="shared" si="2"/>
        <v>600</v>
      </c>
      <c r="F30" s="55">
        <f t="shared" si="3"/>
        <v>0.75</v>
      </c>
      <c r="G30" s="12">
        <f t="shared" si="4"/>
        <v>32850</v>
      </c>
      <c r="H30" s="12">
        <f t="shared" si="5"/>
        <v>77400</v>
      </c>
    </row>
    <row r="31" spans="2:9" ht="15" customHeight="1" x14ac:dyDescent="0.3">
      <c r="B31" s="60" t="s">
        <v>265</v>
      </c>
      <c r="C31" s="53">
        <v>100</v>
      </c>
      <c r="D31" s="53">
        <v>520</v>
      </c>
      <c r="E31" s="44">
        <f t="shared" si="2"/>
        <v>620</v>
      </c>
      <c r="F31" s="52">
        <f t="shared" si="3"/>
        <v>0.83870967741935487</v>
      </c>
      <c r="G31" s="44">
        <f t="shared" si="4"/>
        <v>37960</v>
      </c>
      <c r="H31" s="44">
        <f t="shared" si="5"/>
        <v>89440</v>
      </c>
    </row>
    <row r="32" spans="2:9" ht="15" customHeight="1" x14ac:dyDescent="0.3">
      <c r="B32" s="59" t="s">
        <v>266</v>
      </c>
      <c r="C32" s="33">
        <v>80</v>
      </c>
      <c r="D32" s="33">
        <v>580</v>
      </c>
      <c r="E32" s="12">
        <f t="shared" si="2"/>
        <v>660</v>
      </c>
      <c r="F32" s="55">
        <f t="shared" si="3"/>
        <v>0.87878787878787878</v>
      </c>
      <c r="G32" s="12">
        <f t="shared" si="4"/>
        <v>42340</v>
      </c>
      <c r="H32" s="12">
        <f t="shared" si="5"/>
        <v>99760</v>
      </c>
    </row>
    <row r="33" spans="2:8" ht="15" customHeight="1" x14ac:dyDescent="0.3">
      <c r="B33" s="60" t="s">
        <v>267</v>
      </c>
      <c r="C33" s="53">
        <v>60</v>
      </c>
      <c r="D33" s="53">
        <v>640</v>
      </c>
      <c r="E33" s="44">
        <f t="shared" si="2"/>
        <v>700</v>
      </c>
      <c r="F33" s="52">
        <f t="shared" si="3"/>
        <v>0.91428571428571426</v>
      </c>
      <c r="G33" s="44">
        <f t="shared" si="4"/>
        <v>46720</v>
      </c>
      <c r="H33" s="44">
        <f t="shared" si="5"/>
        <v>110080</v>
      </c>
    </row>
    <row r="34" spans="2:8" ht="15" customHeight="1" x14ac:dyDescent="0.3">
      <c r="B34" s="59" t="s">
        <v>268</v>
      </c>
      <c r="C34" s="33">
        <v>40</v>
      </c>
      <c r="D34" s="33">
        <v>700</v>
      </c>
      <c r="E34" s="12">
        <f t="shared" si="2"/>
        <v>740</v>
      </c>
      <c r="F34" s="55">
        <f t="shared" si="3"/>
        <v>0.94594594594594594</v>
      </c>
      <c r="G34" s="12">
        <f t="shared" si="4"/>
        <v>51100</v>
      </c>
      <c r="H34" s="12">
        <f t="shared" si="5"/>
        <v>120400</v>
      </c>
    </row>
    <row r="35" spans="2:8" ht="15" customHeight="1" x14ac:dyDescent="0.3">
      <c r="B35" s="60" t="s">
        <v>269</v>
      </c>
      <c r="C35" s="53">
        <v>20</v>
      </c>
      <c r="D35" s="53">
        <v>760</v>
      </c>
      <c r="E35" s="44">
        <f t="shared" si="2"/>
        <v>780</v>
      </c>
      <c r="F35" s="52">
        <f t="shared" si="3"/>
        <v>0.97435897435897434</v>
      </c>
      <c r="G35" s="44">
        <f t="shared" si="4"/>
        <v>55480</v>
      </c>
      <c r="H35" s="44">
        <f t="shared" si="5"/>
        <v>130720</v>
      </c>
    </row>
    <row r="36" spans="2:8" ht="15" customHeight="1" x14ac:dyDescent="0.3">
      <c r="B36" s="28" t="s">
        <v>270</v>
      </c>
      <c r="C36" s="30">
        <f>SUM(C24:C35)</f>
        <v>2095</v>
      </c>
      <c r="D36" s="30">
        <f>SUM(D24:D35)</f>
        <v>4940</v>
      </c>
      <c r="E36" s="30">
        <f>SUM(E24:E35)</f>
        <v>7035</v>
      </c>
      <c r="F36" s="61">
        <f t="shared" si="3"/>
        <v>0.70220326936744848</v>
      </c>
      <c r="G36" s="30">
        <f>SUM(G24:G35)</f>
        <v>360620</v>
      </c>
      <c r="H36" s="30">
        <f>SUM(H24:H35)</f>
        <v>849680</v>
      </c>
    </row>
    <row r="38" spans="2:8" ht="15" customHeight="1" x14ac:dyDescent="0.3">
      <c r="B38" s="5" t="s">
        <v>31</v>
      </c>
    </row>
  </sheetData>
  <mergeCells count="6">
    <mergeCell ref="B22:I22"/>
    <mergeCell ref="B2:I2"/>
    <mergeCell ref="B3:I3"/>
    <mergeCell ref="B7:I7"/>
    <mergeCell ref="B8:I8"/>
    <mergeCell ref="B10:I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showGridLines="0" topLeftCell="A6" zoomScaleNormal="100" workbookViewId="0"/>
  </sheetViews>
  <sheetFormatPr defaultColWidth="8.6640625" defaultRowHeight="14.4" x14ac:dyDescent="0.3"/>
  <cols>
    <col min="1" max="1" width="3" customWidth="1"/>
    <col min="2" max="2" width="28" customWidth="1"/>
    <col min="3" max="3" width="16" customWidth="1"/>
    <col min="4" max="4" width="14" customWidth="1"/>
    <col min="5" max="5" width="16" customWidth="1"/>
    <col min="6" max="6" width="14" customWidth="1"/>
    <col min="7" max="7" width="18" customWidth="1"/>
    <col min="8" max="9" width="22" customWidth="1"/>
  </cols>
  <sheetData>
    <row r="1" spans="1:10" ht="15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0" ht="19.5" customHeight="1" x14ac:dyDescent="0.4">
      <c r="A2" s="1"/>
      <c r="B2" s="124" t="s">
        <v>271</v>
      </c>
      <c r="C2" s="124"/>
      <c r="D2" s="124"/>
      <c r="E2" s="124"/>
      <c r="F2" s="124"/>
      <c r="G2" s="124"/>
      <c r="H2" s="124"/>
      <c r="I2" s="124"/>
    </row>
    <row r="3" spans="1:10" ht="15" customHeight="1" x14ac:dyDescent="0.3">
      <c r="A3" s="1"/>
      <c r="B3" s="125" t="s">
        <v>272</v>
      </c>
      <c r="C3" s="125"/>
      <c r="D3" s="125"/>
      <c r="E3" s="125"/>
      <c r="F3" s="125"/>
      <c r="G3" s="125"/>
      <c r="H3" s="125"/>
      <c r="I3" s="125"/>
    </row>
    <row r="4" spans="1:10" ht="15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10" ht="15" customHeight="1" x14ac:dyDescent="0.3">
      <c r="A5" s="1"/>
      <c r="B5" s="1"/>
      <c r="C5" s="1"/>
      <c r="D5" s="1"/>
      <c r="E5" s="1"/>
      <c r="F5" s="1"/>
      <c r="G5" s="1"/>
      <c r="H5" s="1"/>
      <c r="I5" s="1"/>
    </row>
    <row r="7" spans="1:10" ht="24" customHeight="1" x14ac:dyDescent="0.3">
      <c r="B7" s="118" t="s">
        <v>34</v>
      </c>
      <c r="C7" s="118"/>
      <c r="D7" s="118"/>
      <c r="E7" s="118"/>
      <c r="F7" s="118"/>
      <c r="G7" s="118"/>
      <c r="H7" s="118"/>
      <c r="I7" s="118"/>
    </row>
    <row r="8" spans="1:10" ht="36" customHeight="1" x14ac:dyDescent="0.3">
      <c r="B8" s="128" t="s">
        <v>273</v>
      </c>
      <c r="C8" s="128"/>
      <c r="D8" s="128"/>
      <c r="E8" s="128"/>
      <c r="F8" s="128"/>
      <c r="G8" s="128"/>
      <c r="H8" s="128"/>
      <c r="I8" s="128"/>
    </row>
    <row r="10" spans="1:10" ht="24" customHeight="1" x14ac:dyDescent="0.3">
      <c r="B10" s="121" t="s">
        <v>274</v>
      </c>
      <c r="C10" s="121"/>
      <c r="D10" s="121"/>
      <c r="E10" s="121"/>
      <c r="F10" s="121"/>
      <c r="G10" s="121"/>
      <c r="H10" s="121"/>
      <c r="I10" s="121"/>
    </row>
    <row r="11" spans="1:10" ht="15" customHeight="1" x14ac:dyDescent="0.3">
      <c r="B11" s="2" t="s">
        <v>275</v>
      </c>
      <c r="C11" s="2" t="s">
        <v>276</v>
      </c>
      <c r="D11" s="2" t="s">
        <v>277</v>
      </c>
      <c r="E11" s="2" t="s">
        <v>278</v>
      </c>
      <c r="F11" s="2" t="s">
        <v>279</v>
      </c>
      <c r="G11" s="2" t="s">
        <v>280</v>
      </c>
      <c r="H11" s="2" t="s">
        <v>281</v>
      </c>
      <c r="I11" s="2" t="s">
        <v>282</v>
      </c>
      <c r="J11" s="2" t="s">
        <v>283</v>
      </c>
    </row>
    <row r="12" spans="1:10" ht="27.75" customHeight="1" x14ac:dyDescent="0.3">
      <c r="B12" s="45" t="s">
        <v>284</v>
      </c>
      <c r="C12" s="62" t="s">
        <v>285</v>
      </c>
      <c r="D12" s="63" t="s">
        <v>152</v>
      </c>
      <c r="E12" s="64" t="s">
        <v>286</v>
      </c>
      <c r="F12" s="65">
        <v>0.45</v>
      </c>
      <c r="G12" s="66">
        <f t="shared" ref="G12:G23" si="0">1-F12</f>
        <v>0.55000000000000004</v>
      </c>
      <c r="H12" s="67" t="s">
        <v>287</v>
      </c>
      <c r="I12" s="67" t="s">
        <v>288</v>
      </c>
      <c r="J12" s="67" t="s">
        <v>289</v>
      </c>
    </row>
    <row r="13" spans="1:10" ht="27.75" customHeight="1" x14ac:dyDescent="0.3">
      <c r="B13" s="46" t="s">
        <v>290</v>
      </c>
      <c r="C13" s="68" t="s">
        <v>291</v>
      </c>
      <c r="D13" s="63" t="s">
        <v>152</v>
      </c>
      <c r="E13" s="69" t="s">
        <v>292</v>
      </c>
      <c r="F13" s="70">
        <v>0.95</v>
      </c>
      <c r="G13" s="71">
        <f t="shared" si="0"/>
        <v>5.0000000000000044E-2</v>
      </c>
      <c r="H13" s="72" t="s">
        <v>293</v>
      </c>
      <c r="I13" s="72" t="s">
        <v>294</v>
      </c>
      <c r="J13" s="72" t="s">
        <v>295</v>
      </c>
    </row>
    <row r="14" spans="1:10" ht="27.75" customHeight="1" x14ac:dyDescent="0.3">
      <c r="B14" s="45" t="s">
        <v>296</v>
      </c>
      <c r="C14" s="62" t="s">
        <v>297</v>
      </c>
      <c r="D14" s="73" t="s">
        <v>151</v>
      </c>
      <c r="E14" s="64" t="s">
        <v>298</v>
      </c>
      <c r="F14" s="65">
        <v>0.1</v>
      </c>
      <c r="G14" s="66">
        <f t="shared" si="0"/>
        <v>0.9</v>
      </c>
      <c r="H14" s="67" t="s">
        <v>299</v>
      </c>
      <c r="I14" s="67" t="s">
        <v>300</v>
      </c>
      <c r="J14" s="67" t="s">
        <v>301</v>
      </c>
    </row>
    <row r="15" spans="1:10" ht="27.75" customHeight="1" x14ac:dyDescent="0.3">
      <c r="B15" s="46" t="s">
        <v>302</v>
      </c>
      <c r="C15" s="68" t="s">
        <v>303</v>
      </c>
      <c r="D15" s="63" t="s">
        <v>152</v>
      </c>
      <c r="E15" s="69" t="s">
        <v>286</v>
      </c>
      <c r="F15" s="70">
        <v>0.65</v>
      </c>
      <c r="G15" s="71">
        <f t="shared" si="0"/>
        <v>0.35</v>
      </c>
      <c r="H15" s="72" t="s">
        <v>304</v>
      </c>
      <c r="I15" s="72" t="s">
        <v>305</v>
      </c>
      <c r="J15" s="72" t="s">
        <v>306</v>
      </c>
    </row>
    <row r="16" spans="1:10" ht="27.75" customHeight="1" x14ac:dyDescent="0.3">
      <c r="B16" s="45" t="s">
        <v>307</v>
      </c>
      <c r="C16" s="62" t="s">
        <v>297</v>
      </c>
      <c r="D16" s="73" t="s">
        <v>151</v>
      </c>
      <c r="E16" s="64" t="s">
        <v>298</v>
      </c>
      <c r="F16" s="65">
        <v>0.05</v>
      </c>
      <c r="G16" s="66">
        <f t="shared" si="0"/>
        <v>0.95</v>
      </c>
      <c r="H16" s="67" t="s">
        <v>308</v>
      </c>
      <c r="I16" s="67" t="s">
        <v>309</v>
      </c>
      <c r="J16" s="67" t="s">
        <v>289</v>
      </c>
    </row>
    <row r="17" spans="2:10" ht="27.75" customHeight="1" x14ac:dyDescent="0.3">
      <c r="B17" s="46" t="s">
        <v>310</v>
      </c>
      <c r="C17" s="68" t="s">
        <v>311</v>
      </c>
      <c r="D17" s="74" t="s">
        <v>150</v>
      </c>
      <c r="E17" s="69" t="s">
        <v>312</v>
      </c>
      <c r="F17" s="70">
        <v>0.3</v>
      </c>
      <c r="G17" s="71">
        <f t="shared" si="0"/>
        <v>0.7</v>
      </c>
      <c r="H17" s="72" t="s">
        <v>313</v>
      </c>
      <c r="I17" s="72" t="s">
        <v>314</v>
      </c>
      <c r="J17" s="72" t="s">
        <v>315</v>
      </c>
    </row>
    <row r="18" spans="2:10" ht="27.75" customHeight="1" x14ac:dyDescent="0.3">
      <c r="B18" s="45" t="s">
        <v>316</v>
      </c>
      <c r="C18" s="62" t="s">
        <v>317</v>
      </c>
      <c r="D18" s="74" t="s">
        <v>150</v>
      </c>
      <c r="E18" s="64" t="s">
        <v>286</v>
      </c>
      <c r="F18" s="65">
        <v>0.55000000000000004</v>
      </c>
      <c r="G18" s="66">
        <f t="shared" si="0"/>
        <v>0.44999999999999996</v>
      </c>
      <c r="H18" s="67" t="s">
        <v>318</v>
      </c>
      <c r="I18" s="67" t="s">
        <v>319</v>
      </c>
      <c r="J18" s="67" t="s">
        <v>301</v>
      </c>
    </row>
    <row r="19" spans="2:10" ht="27.75" customHeight="1" x14ac:dyDescent="0.3">
      <c r="B19" s="46" t="s">
        <v>320</v>
      </c>
      <c r="C19" s="68" t="s">
        <v>321</v>
      </c>
      <c r="D19" s="63" t="s">
        <v>152</v>
      </c>
      <c r="E19" s="69" t="s">
        <v>286</v>
      </c>
      <c r="F19" s="70">
        <v>0.7</v>
      </c>
      <c r="G19" s="71">
        <f t="shared" si="0"/>
        <v>0.30000000000000004</v>
      </c>
      <c r="H19" s="72" t="s">
        <v>322</v>
      </c>
      <c r="I19" s="72" t="s">
        <v>323</v>
      </c>
      <c r="J19" s="72" t="s">
        <v>306</v>
      </c>
    </row>
    <row r="20" spans="2:10" ht="27.75" customHeight="1" x14ac:dyDescent="0.3">
      <c r="B20" s="45" t="s">
        <v>324</v>
      </c>
      <c r="C20" s="62" t="s">
        <v>285</v>
      </c>
      <c r="D20" s="73" t="s">
        <v>151</v>
      </c>
      <c r="E20" s="64" t="s">
        <v>298</v>
      </c>
      <c r="F20" s="65">
        <v>0.2</v>
      </c>
      <c r="G20" s="66">
        <f t="shared" si="0"/>
        <v>0.8</v>
      </c>
      <c r="H20" s="67" t="s">
        <v>325</v>
      </c>
      <c r="I20" s="67" t="s">
        <v>326</v>
      </c>
      <c r="J20" s="67" t="s">
        <v>289</v>
      </c>
    </row>
    <row r="21" spans="2:10" ht="27.75" customHeight="1" x14ac:dyDescent="0.3">
      <c r="B21" s="46" t="s">
        <v>327</v>
      </c>
      <c r="C21" s="68" t="s">
        <v>328</v>
      </c>
      <c r="D21" s="74" t="s">
        <v>150</v>
      </c>
      <c r="E21" s="69" t="s">
        <v>292</v>
      </c>
      <c r="F21" s="70">
        <v>0.88</v>
      </c>
      <c r="G21" s="71">
        <f t="shared" si="0"/>
        <v>0.12</v>
      </c>
      <c r="H21" s="72" t="s">
        <v>329</v>
      </c>
      <c r="I21" s="72" t="s">
        <v>330</v>
      </c>
      <c r="J21" s="72" t="s">
        <v>295</v>
      </c>
    </row>
    <row r="22" spans="2:10" ht="27.75" customHeight="1" x14ac:dyDescent="0.3">
      <c r="B22" s="45" t="s">
        <v>331</v>
      </c>
      <c r="C22" s="62" t="s">
        <v>332</v>
      </c>
      <c r="D22" s="73" t="s">
        <v>151</v>
      </c>
      <c r="E22" s="64" t="s">
        <v>286</v>
      </c>
      <c r="F22" s="65">
        <v>0.4</v>
      </c>
      <c r="G22" s="66">
        <f t="shared" si="0"/>
        <v>0.6</v>
      </c>
      <c r="H22" s="67" t="s">
        <v>333</v>
      </c>
      <c r="I22" s="67" t="s">
        <v>334</v>
      </c>
      <c r="J22" s="67" t="s">
        <v>301</v>
      </c>
    </row>
    <row r="23" spans="2:10" ht="27.75" customHeight="1" x14ac:dyDescent="0.3">
      <c r="B23" s="46" t="s">
        <v>335</v>
      </c>
      <c r="C23" s="68" t="s">
        <v>336</v>
      </c>
      <c r="D23" s="75" t="s">
        <v>149</v>
      </c>
      <c r="E23" s="69" t="s">
        <v>298</v>
      </c>
      <c r="F23" s="70">
        <v>0</v>
      </c>
      <c r="G23" s="71">
        <f t="shared" si="0"/>
        <v>1</v>
      </c>
      <c r="H23" s="72" t="s">
        <v>337</v>
      </c>
      <c r="I23" s="72" t="s">
        <v>338</v>
      </c>
      <c r="J23" s="72" t="s">
        <v>339</v>
      </c>
    </row>
    <row r="25" spans="2:10" ht="24" customHeight="1" x14ac:dyDescent="0.3">
      <c r="B25" s="121" t="s">
        <v>340</v>
      </c>
      <c r="C25" s="121"/>
      <c r="D25" s="121"/>
      <c r="E25" s="121"/>
      <c r="F25" s="121"/>
      <c r="G25" s="121"/>
      <c r="H25" s="121"/>
      <c r="I25" s="121"/>
    </row>
    <row r="26" spans="2:10" ht="23.25" customHeight="1" x14ac:dyDescent="0.3">
      <c r="B26" s="2" t="s">
        <v>341</v>
      </c>
      <c r="C26" s="2" t="s">
        <v>146</v>
      </c>
      <c r="D26" s="2" t="s">
        <v>342</v>
      </c>
      <c r="E26" s="2" t="s">
        <v>343</v>
      </c>
    </row>
    <row r="27" spans="2:10" ht="15" customHeight="1" x14ac:dyDescent="0.3">
      <c r="B27" s="76" t="s">
        <v>344</v>
      </c>
      <c r="C27" s="25">
        <f>COUNTIF(D12:D23,"Critical")</f>
        <v>4</v>
      </c>
      <c r="D27" s="77">
        <f>AVERAGEIF(D12:D23,"Critical",F12:F23)</f>
        <v>0.6875</v>
      </c>
      <c r="E27" s="25">
        <f>COUNTIFS(D12:D23,"Critical",F12:F23,"&lt;0.5")</f>
        <v>1</v>
      </c>
    </row>
    <row r="28" spans="2:10" ht="15" customHeight="1" x14ac:dyDescent="0.3">
      <c r="B28" s="78" t="s">
        <v>345</v>
      </c>
      <c r="C28" s="21">
        <f>COUNTIF(D12:D23,"High")</f>
        <v>4</v>
      </c>
      <c r="D28" s="79">
        <f>AVERAGEIF(D12:D23,"High",F12:F23)</f>
        <v>0.1875</v>
      </c>
      <c r="E28" s="21">
        <f>COUNTIFS(D12:D23,"High",F12:F23,"&lt;0.5")</f>
        <v>4</v>
      </c>
    </row>
    <row r="29" spans="2:10" ht="15" customHeight="1" x14ac:dyDescent="0.3">
      <c r="B29" s="80" t="s">
        <v>346</v>
      </c>
      <c r="C29" s="17">
        <f>COUNTIF(D12:D23,"Medium")</f>
        <v>3</v>
      </c>
      <c r="D29" s="81">
        <f>AVERAGEIF(D12:D23,"Medium",F12:F23)</f>
        <v>0.57666666666666666</v>
      </c>
      <c r="E29" s="17">
        <f>COUNTIFS(D12:D23,"Medium",F12:F23,"&lt;0.5")</f>
        <v>1</v>
      </c>
    </row>
    <row r="30" spans="2:10" ht="15" customHeight="1" x14ac:dyDescent="0.3">
      <c r="B30" s="46" t="s">
        <v>347</v>
      </c>
      <c r="C30" s="82">
        <f>COUNTIF(D12:D23,"Low")</f>
        <v>1</v>
      </c>
      <c r="D30" s="83">
        <f>AVERAGEIF(D12:D23,"Low",F12:F23)</f>
        <v>0</v>
      </c>
      <c r="E30" s="82">
        <f>COUNTIFS(D12:D23,"Low",F12:F23,"&lt;0.5")</f>
        <v>1</v>
      </c>
    </row>
    <row r="31" spans="2:10" ht="15" customHeight="1" x14ac:dyDescent="0.3">
      <c r="B31" s="32" t="s">
        <v>153</v>
      </c>
      <c r="C31" s="29">
        <f>SUM(C26:C29)</f>
        <v>11</v>
      </c>
      <c r="D31" s="84">
        <f>AVERAGE(F12:F23)</f>
        <v>0.43583333333333335</v>
      </c>
      <c r="E31" s="29">
        <f>COUNTIF(F12:F23,"&lt;0.5")</f>
        <v>7</v>
      </c>
    </row>
    <row r="33" spans="2:2" ht="15" customHeight="1" x14ac:dyDescent="0.3">
      <c r="B33" s="5" t="s">
        <v>31</v>
      </c>
    </row>
  </sheetData>
  <mergeCells count="6">
    <mergeCell ref="B25:I25"/>
    <mergeCell ref="B2:I2"/>
    <mergeCell ref="B3:I3"/>
    <mergeCell ref="B7:I7"/>
    <mergeCell ref="B8:I8"/>
    <mergeCell ref="B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"/>
  <sheetViews>
    <sheetView showGridLines="0" topLeftCell="A21" zoomScaleNormal="100" workbookViewId="0"/>
  </sheetViews>
  <sheetFormatPr defaultColWidth="8.6640625" defaultRowHeight="14.4" x14ac:dyDescent="0.3"/>
  <cols>
    <col min="1" max="1" width="3" customWidth="1"/>
    <col min="2" max="2" width="24" customWidth="1"/>
    <col min="3" max="9" width="16" customWidth="1"/>
  </cols>
  <sheetData>
    <row r="1" spans="1:9" ht="15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19.5" customHeight="1" x14ac:dyDescent="0.4">
      <c r="A2" s="1"/>
      <c r="B2" s="124" t="s">
        <v>348</v>
      </c>
      <c r="C2" s="124"/>
      <c r="D2" s="124"/>
      <c r="E2" s="124"/>
      <c r="F2" s="124"/>
      <c r="G2" s="124"/>
      <c r="H2" s="124"/>
      <c r="I2" s="124"/>
    </row>
    <row r="3" spans="1:9" ht="15" customHeight="1" x14ac:dyDescent="0.3">
      <c r="A3" s="1"/>
      <c r="B3" s="125" t="s">
        <v>349</v>
      </c>
      <c r="C3" s="125"/>
      <c r="D3" s="125"/>
      <c r="E3" s="125"/>
      <c r="F3" s="125"/>
      <c r="G3" s="125"/>
      <c r="H3" s="125"/>
      <c r="I3" s="125"/>
    </row>
    <row r="4" spans="1:9" ht="15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5" customHeight="1" x14ac:dyDescent="0.3">
      <c r="A5" s="1"/>
      <c r="B5" s="1"/>
      <c r="C5" s="1"/>
      <c r="D5" s="1"/>
      <c r="E5" s="1"/>
      <c r="F5" s="1"/>
      <c r="G5" s="1"/>
      <c r="H5" s="1"/>
      <c r="I5" s="1"/>
    </row>
    <row r="7" spans="1:9" ht="24" customHeight="1" x14ac:dyDescent="0.3">
      <c r="B7" s="118" t="s">
        <v>350</v>
      </c>
      <c r="C7" s="118"/>
      <c r="D7" s="118"/>
      <c r="E7" s="118"/>
      <c r="F7" s="118"/>
      <c r="G7" s="118"/>
      <c r="H7" s="118"/>
      <c r="I7" s="118"/>
    </row>
    <row r="8" spans="1:9" ht="15" customHeight="1" x14ac:dyDescent="0.3">
      <c r="B8" s="2" t="s">
        <v>351</v>
      </c>
      <c r="C8" s="2" t="s">
        <v>352</v>
      </c>
      <c r="D8" s="2" t="s">
        <v>353</v>
      </c>
      <c r="E8" s="2" t="s">
        <v>354</v>
      </c>
    </row>
    <row r="9" spans="1:9" ht="15" customHeight="1" x14ac:dyDescent="0.3">
      <c r="B9" s="45" t="s">
        <v>355</v>
      </c>
      <c r="C9" s="53">
        <v>35</v>
      </c>
      <c r="D9" s="54" t="s">
        <v>356</v>
      </c>
      <c r="E9" s="85" t="s">
        <v>357</v>
      </c>
    </row>
    <row r="10" spans="1:9" ht="15" customHeight="1" x14ac:dyDescent="0.3">
      <c r="B10" s="46" t="s">
        <v>358</v>
      </c>
      <c r="C10" s="33">
        <v>120000</v>
      </c>
      <c r="D10" s="56" t="s">
        <v>359</v>
      </c>
      <c r="E10" s="85" t="s">
        <v>360</v>
      </c>
    </row>
    <row r="11" spans="1:9" ht="15" customHeight="1" x14ac:dyDescent="0.3">
      <c r="B11" s="45" t="s">
        <v>361</v>
      </c>
      <c r="C11" s="53">
        <v>50000</v>
      </c>
      <c r="D11" s="54" t="s">
        <v>359</v>
      </c>
      <c r="E11" s="85" t="s">
        <v>362</v>
      </c>
    </row>
    <row r="12" spans="1:9" ht="15" customHeight="1" x14ac:dyDescent="0.3">
      <c r="B12" s="46" t="s">
        <v>363</v>
      </c>
      <c r="C12" s="33">
        <v>10</v>
      </c>
      <c r="D12" s="56" t="s">
        <v>356</v>
      </c>
      <c r="E12" s="85" t="s">
        <v>364</v>
      </c>
    </row>
    <row r="13" spans="1:9" ht="23.25" customHeight="1" x14ac:dyDescent="0.3">
      <c r="B13" s="45" t="s">
        <v>365</v>
      </c>
      <c r="C13" s="86">
        <v>7</v>
      </c>
      <c r="D13" s="54" t="s">
        <v>366</v>
      </c>
      <c r="E13" s="85" t="s">
        <v>367</v>
      </c>
    </row>
    <row r="14" spans="1:9" ht="15" customHeight="1" x14ac:dyDescent="0.3">
      <c r="B14" s="46" t="s">
        <v>368</v>
      </c>
      <c r="C14" s="87" t="s">
        <v>369</v>
      </c>
      <c r="D14" s="56" t="s">
        <v>370</v>
      </c>
      <c r="E14" s="85" t="s">
        <v>371</v>
      </c>
    </row>
    <row r="16" spans="1:9" ht="24" customHeight="1" x14ac:dyDescent="0.3">
      <c r="B16" s="121" t="s">
        <v>372</v>
      </c>
      <c r="C16" s="121"/>
      <c r="D16" s="121"/>
      <c r="E16" s="121"/>
      <c r="F16" s="121"/>
      <c r="G16" s="121"/>
      <c r="H16" s="121"/>
      <c r="I16" s="121"/>
    </row>
    <row r="17" spans="2:9" ht="23.25" customHeight="1" x14ac:dyDescent="0.3">
      <c r="B17" s="2" t="s">
        <v>373</v>
      </c>
      <c r="C17" s="2" t="s">
        <v>374</v>
      </c>
      <c r="D17" s="2" t="s">
        <v>76</v>
      </c>
      <c r="E17" s="2" t="s">
        <v>375</v>
      </c>
      <c r="F17" s="2" t="s">
        <v>376</v>
      </c>
      <c r="G17" s="2" t="s">
        <v>377</v>
      </c>
      <c r="H17" s="2" t="s">
        <v>378</v>
      </c>
      <c r="I17" s="2" t="s">
        <v>379</v>
      </c>
    </row>
    <row r="18" spans="2:9" ht="15" customHeight="1" x14ac:dyDescent="0.3">
      <c r="B18" s="45" t="s">
        <v>380</v>
      </c>
      <c r="C18" s="88">
        <f>ROUND(C13*5/100,2)</f>
        <v>0.35</v>
      </c>
      <c r="D18" s="44">
        <f>B5*C13*5/100</f>
        <v>0</v>
      </c>
      <c r="E18" s="57">
        <v>0.09</v>
      </c>
      <c r="F18" s="64" t="s">
        <v>381</v>
      </c>
      <c r="G18" s="44">
        <f t="shared" ref="G18:G23" si="0">D18*(1+E18)^5</f>
        <v>0</v>
      </c>
      <c r="H18" s="44">
        <f t="shared" ref="H18:H23" si="1">D18*(1+E18)^10</f>
        <v>0</v>
      </c>
      <c r="I18" s="44">
        <f t="shared" ref="I18:I23" si="2">D18*E18</f>
        <v>0</v>
      </c>
    </row>
    <row r="19" spans="2:9" ht="15" customHeight="1" x14ac:dyDescent="0.3">
      <c r="B19" s="46" t="s">
        <v>382</v>
      </c>
      <c r="C19" s="83">
        <f>ROUND(C13*3/100,2)</f>
        <v>0.21</v>
      </c>
      <c r="D19" s="12">
        <f>B5*C13*3/100</f>
        <v>0</v>
      </c>
      <c r="E19" s="34">
        <v>0.11</v>
      </c>
      <c r="F19" s="69" t="s">
        <v>151</v>
      </c>
      <c r="G19" s="12">
        <f t="shared" si="0"/>
        <v>0</v>
      </c>
      <c r="H19" s="12">
        <f t="shared" si="1"/>
        <v>0</v>
      </c>
      <c r="I19" s="12">
        <f t="shared" si="2"/>
        <v>0</v>
      </c>
    </row>
    <row r="20" spans="2:9" ht="15" customHeight="1" x14ac:dyDescent="0.3">
      <c r="B20" s="45" t="s">
        <v>383</v>
      </c>
      <c r="C20" s="88">
        <f>ROUND((1-C13/10)*0.4,2)</f>
        <v>0.12</v>
      </c>
      <c r="D20" s="44">
        <f>B5*(1-C13/10)*0.4</f>
        <v>0</v>
      </c>
      <c r="E20" s="57">
        <v>4.4999999999999998E-2</v>
      </c>
      <c r="F20" s="64" t="s">
        <v>149</v>
      </c>
      <c r="G20" s="44">
        <f t="shared" si="0"/>
        <v>0</v>
      </c>
      <c r="H20" s="44">
        <f t="shared" si="1"/>
        <v>0</v>
      </c>
      <c r="I20" s="44">
        <f t="shared" si="2"/>
        <v>0</v>
      </c>
    </row>
    <row r="21" spans="2:9" ht="15" customHeight="1" x14ac:dyDescent="0.3">
      <c r="B21" s="46" t="s">
        <v>384</v>
      </c>
      <c r="C21" s="83">
        <f>ROUND(0.1,2)</f>
        <v>0.1</v>
      </c>
      <c r="D21" s="12">
        <f>B5*0.1</f>
        <v>0</v>
      </c>
      <c r="E21" s="34">
        <v>7.0000000000000007E-2</v>
      </c>
      <c r="F21" s="69" t="s">
        <v>150</v>
      </c>
      <c r="G21" s="12">
        <f t="shared" si="0"/>
        <v>0</v>
      </c>
      <c r="H21" s="12">
        <f t="shared" si="1"/>
        <v>0</v>
      </c>
      <c r="I21" s="12">
        <f t="shared" si="2"/>
        <v>0</v>
      </c>
    </row>
    <row r="22" spans="2:9" ht="15" customHeight="1" x14ac:dyDescent="0.3">
      <c r="B22" s="45" t="s">
        <v>385</v>
      </c>
      <c r="C22" s="88">
        <f>ROUND(0.05,2)</f>
        <v>0.05</v>
      </c>
      <c r="D22" s="44">
        <f>B5*0.05</f>
        <v>0</v>
      </c>
      <c r="E22" s="57">
        <v>0.05</v>
      </c>
      <c r="F22" s="64" t="s">
        <v>150</v>
      </c>
      <c r="G22" s="44">
        <f t="shared" si="0"/>
        <v>0</v>
      </c>
      <c r="H22" s="44">
        <f t="shared" si="1"/>
        <v>0</v>
      </c>
      <c r="I22" s="44">
        <f t="shared" si="2"/>
        <v>0</v>
      </c>
    </row>
    <row r="23" spans="2:9" ht="15" customHeight="1" x14ac:dyDescent="0.3">
      <c r="B23" s="46" t="s">
        <v>386</v>
      </c>
      <c r="C23" s="83">
        <f>ROUND(MAX(0.05,1-C18-C19-C20-C21-C22),2)</f>
        <v>0.17</v>
      </c>
      <c r="D23" s="12">
        <f>B5*C23</f>
        <v>0</v>
      </c>
      <c r="E23" s="34">
        <v>3.5000000000000003E-2</v>
      </c>
      <c r="F23" s="69" t="s">
        <v>387</v>
      </c>
      <c r="G23" s="12">
        <f t="shared" si="0"/>
        <v>0</v>
      </c>
      <c r="H23" s="12">
        <f t="shared" si="1"/>
        <v>0</v>
      </c>
      <c r="I23" s="12">
        <f t="shared" si="2"/>
        <v>0</v>
      </c>
    </row>
    <row r="24" spans="2:9" ht="15" customHeight="1" x14ac:dyDescent="0.3">
      <c r="B24" s="32" t="s">
        <v>388</v>
      </c>
      <c r="C24" s="84">
        <f>SUM(C18:C23)</f>
        <v>1</v>
      </c>
      <c r="D24" s="30">
        <f>SUM(D18:D23)</f>
        <v>0</v>
      </c>
      <c r="G24" s="30">
        <f>SUM(G18:G23)</f>
        <v>0</v>
      </c>
      <c r="H24" s="30">
        <f>SUM(H18:H23)</f>
        <v>0</v>
      </c>
      <c r="I24" s="30">
        <f>SUM(I18:I23)</f>
        <v>0</v>
      </c>
    </row>
    <row r="26" spans="2:9" ht="24" customHeight="1" x14ac:dyDescent="0.3">
      <c r="B26" s="118" t="s">
        <v>389</v>
      </c>
      <c r="C26" s="118"/>
      <c r="D26" s="118"/>
      <c r="E26" s="118"/>
      <c r="F26" s="118"/>
      <c r="G26" s="118"/>
      <c r="H26" s="118"/>
      <c r="I26" s="118"/>
    </row>
    <row r="27" spans="2:9" ht="15" customHeight="1" x14ac:dyDescent="0.3">
      <c r="B27" s="80" t="s">
        <v>390</v>
      </c>
      <c r="C27" s="89">
        <f>SUMPRODUCT(C18:C23,E18:E23)</f>
        <v>7.5450000000000003E-2</v>
      </c>
    </row>
    <row r="28" spans="2:9" ht="23.25" customHeight="1" x14ac:dyDescent="0.3">
      <c r="B28" s="80" t="s">
        <v>391</v>
      </c>
      <c r="C28" s="31">
        <f>G24</f>
        <v>0</v>
      </c>
    </row>
    <row r="29" spans="2:9" ht="23.25" customHeight="1" x14ac:dyDescent="0.3">
      <c r="B29" s="80" t="s">
        <v>392</v>
      </c>
      <c r="C29" s="31">
        <f>H24</f>
        <v>0</v>
      </c>
    </row>
    <row r="30" spans="2:9" ht="23.25" customHeight="1" x14ac:dyDescent="0.3">
      <c r="B30" s="32" t="s">
        <v>393</v>
      </c>
      <c r="C30" s="30">
        <f>I24</f>
        <v>0</v>
      </c>
    </row>
    <row r="31" spans="2:9" ht="23.25" customHeight="1" x14ac:dyDescent="0.3">
      <c r="B31" s="32" t="s">
        <v>394</v>
      </c>
      <c r="C31" s="30">
        <f>H24-C6</f>
        <v>0</v>
      </c>
    </row>
    <row r="32" spans="2:9" ht="15" customHeight="1" x14ac:dyDescent="0.3">
      <c r="B32" s="32" t="s">
        <v>395</v>
      </c>
      <c r="C32" s="90">
        <f>(C30/C11)^(1/10)-1</f>
        <v>-1</v>
      </c>
    </row>
    <row r="33" spans="2:3" ht="15" customHeight="1" x14ac:dyDescent="0.3">
      <c r="B33" s="78" t="s">
        <v>82</v>
      </c>
      <c r="C33" s="91" t="str">
        <f>IF(C13&lt;=3,"Conservative",IF(C13&lt;=6,"Moderate","Aggressive"))</f>
        <v>Aggressive</v>
      </c>
    </row>
    <row r="35" spans="2:3" ht="15" customHeight="1" x14ac:dyDescent="0.3">
      <c r="B35" s="5" t="s">
        <v>31</v>
      </c>
    </row>
  </sheetData>
  <mergeCells count="5">
    <mergeCell ref="B2:I2"/>
    <mergeCell ref="B3:I3"/>
    <mergeCell ref="B7:I7"/>
    <mergeCell ref="B16:I16"/>
    <mergeCell ref="B26:I2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4" width="38" customWidth="1"/>
    <col min="5" max="5" width="18" customWidth="1"/>
  </cols>
  <sheetData>
    <row r="1" spans="1:5" ht="15" customHeight="1" x14ac:dyDescent="0.3">
      <c r="A1" s="1"/>
      <c r="B1" s="1"/>
      <c r="C1" s="1"/>
      <c r="D1" s="1"/>
      <c r="E1" s="1"/>
    </row>
    <row r="2" spans="1:5" ht="19.5" customHeight="1" x14ac:dyDescent="0.4">
      <c r="A2" s="1"/>
      <c r="B2" s="124" t="s">
        <v>396</v>
      </c>
      <c r="C2" s="124"/>
      <c r="D2" s="124"/>
      <c r="E2" s="124"/>
    </row>
    <row r="3" spans="1:5" ht="15" customHeight="1" x14ac:dyDescent="0.3">
      <c r="A3" s="1"/>
      <c r="B3" s="125" t="s">
        <v>397</v>
      </c>
      <c r="C3" s="125"/>
      <c r="D3" s="125"/>
      <c r="E3" s="125"/>
    </row>
    <row r="4" spans="1:5" ht="15" customHeight="1" x14ac:dyDescent="0.3">
      <c r="A4" s="1"/>
      <c r="B4" s="1"/>
      <c r="C4" s="1"/>
      <c r="D4" s="1"/>
      <c r="E4" s="1"/>
    </row>
    <row r="5" spans="1:5" ht="15" customHeight="1" x14ac:dyDescent="0.3">
      <c r="A5" s="1"/>
      <c r="B5" s="1"/>
      <c r="C5" s="1"/>
      <c r="D5" s="1"/>
      <c r="E5" s="1"/>
    </row>
    <row r="7" spans="1:5" ht="24" customHeight="1" x14ac:dyDescent="0.3">
      <c r="B7" s="118" t="s">
        <v>398</v>
      </c>
      <c r="C7" s="118"/>
      <c r="D7" s="118"/>
      <c r="E7" s="118"/>
    </row>
    <row r="8" spans="1:5" ht="21.75" customHeight="1" x14ac:dyDescent="0.3">
      <c r="B8" s="129" t="s">
        <v>399</v>
      </c>
      <c r="C8" s="129"/>
      <c r="D8" s="129"/>
      <c r="E8" s="129"/>
    </row>
    <row r="10" spans="1:5" ht="24" customHeight="1" x14ac:dyDescent="0.3">
      <c r="B10" s="121" t="s">
        <v>400</v>
      </c>
      <c r="C10" s="121"/>
      <c r="D10" s="121"/>
      <c r="E10" s="121"/>
    </row>
    <row r="11" spans="1:5" ht="15" customHeight="1" x14ac:dyDescent="0.3">
      <c r="B11" s="2" t="s">
        <v>401</v>
      </c>
      <c r="C11" s="2" t="s">
        <v>402</v>
      </c>
      <c r="D11" s="2" t="s">
        <v>403</v>
      </c>
      <c r="E11" s="2" t="s">
        <v>404</v>
      </c>
    </row>
    <row r="12" spans="1:5" ht="36" customHeight="1" x14ac:dyDescent="0.3">
      <c r="B12" s="92" t="s">
        <v>405</v>
      </c>
      <c r="C12" s="67" t="s">
        <v>406</v>
      </c>
      <c r="D12" s="93"/>
      <c r="E12" s="94" t="s">
        <v>407</v>
      </c>
    </row>
    <row r="13" spans="1:5" ht="36" customHeight="1" x14ac:dyDescent="0.3">
      <c r="B13" s="92" t="s">
        <v>408</v>
      </c>
      <c r="C13" s="72" t="s">
        <v>409</v>
      </c>
      <c r="D13" s="93"/>
      <c r="E13" s="94" t="s">
        <v>410</v>
      </c>
    </row>
    <row r="14" spans="1:5" ht="36" customHeight="1" x14ac:dyDescent="0.3">
      <c r="B14" s="92" t="s">
        <v>411</v>
      </c>
      <c r="C14" s="67" t="s">
        <v>412</v>
      </c>
      <c r="D14" s="93"/>
      <c r="E14" s="94" t="s">
        <v>413</v>
      </c>
    </row>
    <row r="15" spans="1:5" ht="36" customHeight="1" x14ac:dyDescent="0.3">
      <c r="B15" s="92" t="s">
        <v>414</v>
      </c>
      <c r="C15" s="72" t="s">
        <v>415</v>
      </c>
      <c r="D15" s="93"/>
      <c r="E15" s="94" t="s">
        <v>416</v>
      </c>
    </row>
    <row r="16" spans="1:5" ht="36" customHeight="1" x14ac:dyDescent="0.3">
      <c r="B16" s="92" t="s">
        <v>417</v>
      </c>
      <c r="C16" s="67" t="s">
        <v>418</v>
      </c>
      <c r="D16" s="93"/>
      <c r="E16" s="94" t="s">
        <v>419</v>
      </c>
    </row>
    <row r="17" spans="2:5" ht="36" customHeight="1" x14ac:dyDescent="0.3">
      <c r="B17" s="92" t="s">
        <v>420</v>
      </c>
      <c r="C17" s="72" t="s">
        <v>421</v>
      </c>
      <c r="D17" s="93"/>
      <c r="E17" s="94" t="s">
        <v>422</v>
      </c>
    </row>
    <row r="19" spans="2:5" ht="24" customHeight="1" x14ac:dyDescent="0.3">
      <c r="B19" s="121" t="s">
        <v>423</v>
      </c>
      <c r="C19" s="121"/>
      <c r="D19" s="121"/>
      <c r="E19" s="121"/>
    </row>
    <row r="20" spans="2:5" ht="15" customHeight="1" x14ac:dyDescent="0.3">
      <c r="B20" s="2" t="s">
        <v>424</v>
      </c>
      <c r="C20" s="2" t="s">
        <v>425</v>
      </c>
      <c r="D20" s="2" t="s">
        <v>426</v>
      </c>
      <c r="E20" s="2" t="s">
        <v>427</v>
      </c>
    </row>
    <row r="21" spans="2:5" ht="48" customHeight="1" x14ac:dyDescent="0.3">
      <c r="B21" s="95">
        <v>1</v>
      </c>
      <c r="C21" s="96" t="s">
        <v>428</v>
      </c>
      <c r="D21" s="97" t="s">
        <v>429</v>
      </c>
      <c r="E21" s="74" t="s">
        <v>430</v>
      </c>
    </row>
    <row r="22" spans="2:5" ht="48" customHeight="1" x14ac:dyDescent="0.3">
      <c r="B22" s="95">
        <v>2</v>
      </c>
      <c r="C22" s="98" t="s">
        <v>431</v>
      </c>
      <c r="D22" s="99" t="s">
        <v>432</v>
      </c>
      <c r="E22" s="74" t="s">
        <v>433</v>
      </c>
    </row>
    <row r="23" spans="2:5" ht="48" customHeight="1" x14ac:dyDescent="0.3">
      <c r="B23" s="95">
        <v>3</v>
      </c>
      <c r="C23" s="96" t="s">
        <v>434</v>
      </c>
      <c r="D23" s="97" t="s">
        <v>435</v>
      </c>
      <c r="E23" s="74" t="s">
        <v>436</v>
      </c>
    </row>
    <row r="24" spans="2:5" ht="48" customHeight="1" x14ac:dyDescent="0.3">
      <c r="B24" s="95">
        <v>4</v>
      </c>
      <c r="C24" s="98" t="s">
        <v>437</v>
      </c>
      <c r="D24" s="99" t="s">
        <v>438</v>
      </c>
      <c r="E24" s="74" t="s">
        <v>439</v>
      </c>
    </row>
    <row r="25" spans="2:5" ht="48" customHeight="1" x14ac:dyDescent="0.3">
      <c r="B25" s="95">
        <v>5</v>
      </c>
      <c r="C25" s="96" t="s">
        <v>440</v>
      </c>
      <c r="D25" s="97" t="s">
        <v>441</v>
      </c>
      <c r="E25" s="74" t="s">
        <v>430</v>
      </c>
    </row>
    <row r="26" spans="2:5" ht="48" customHeight="1" x14ac:dyDescent="0.3">
      <c r="B26" s="95">
        <v>6</v>
      </c>
      <c r="C26" s="98" t="s">
        <v>442</v>
      </c>
      <c r="D26" s="99" t="s">
        <v>443</v>
      </c>
      <c r="E26" s="74" t="s">
        <v>439</v>
      </c>
    </row>
    <row r="27" spans="2:5" ht="48" customHeight="1" x14ac:dyDescent="0.3">
      <c r="B27" s="95">
        <v>7</v>
      </c>
      <c r="C27" s="96" t="s">
        <v>444</v>
      </c>
      <c r="D27" s="97" t="s">
        <v>445</v>
      </c>
      <c r="E27" s="74" t="s">
        <v>436</v>
      </c>
    </row>
    <row r="28" spans="2:5" ht="48" customHeight="1" x14ac:dyDescent="0.3">
      <c r="B28" s="95">
        <v>8</v>
      </c>
      <c r="C28" s="98" t="s">
        <v>446</v>
      </c>
      <c r="D28" s="99" t="s">
        <v>447</v>
      </c>
      <c r="E28" s="74" t="s">
        <v>439</v>
      </c>
    </row>
    <row r="29" spans="2:5" ht="48" customHeight="1" x14ac:dyDescent="0.3">
      <c r="B29" s="95">
        <v>9</v>
      </c>
      <c r="C29" s="96" t="s">
        <v>448</v>
      </c>
      <c r="D29" s="97" t="s">
        <v>449</v>
      </c>
      <c r="E29" s="74" t="s">
        <v>450</v>
      </c>
    </row>
    <row r="30" spans="2:5" ht="48" customHeight="1" x14ac:dyDescent="0.3">
      <c r="B30" s="95">
        <v>10</v>
      </c>
      <c r="C30" s="98" t="s">
        <v>451</v>
      </c>
      <c r="D30" s="99" t="s">
        <v>452</v>
      </c>
      <c r="E30" s="74" t="s">
        <v>453</v>
      </c>
    </row>
    <row r="31" spans="2:5" ht="48" customHeight="1" x14ac:dyDescent="0.3">
      <c r="B31" s="95">
        <v>11</v>
      </c>
      <c r="C31" s="96" t="s">
        <v>454</v>
      </c>
      <c r="D31" s="97" t="s">
        <v>455</v>
      </c>
      <c r="E31" s="74" t="s">
        <v>450</v>
      </c>
    </row>
    <row r="32" spans="2:5" ht="48" customHeight="1" x14ac:dyDescent="0.3">
      <c r="B32" s="95">
        <v>12</v>
      </c>
      <c r="C32" s="98" t="s">
        <v>456</v>
      </c>
      <c r="D32" s="99" t="s">
        <v>457</v>
      </c>
      <c r="E32" s="74" t="s">
        <v>433</v>
      </c>
    </row>
    <row r="33" spans="2:5" ht="48" customHeight="1" x14ac:dyDescent="0.3">
      <c r="B33" s="95">
        <v>13</v>
      </c>
      <c r="C33" s="96" t="s">
        <v>458</v>
      </c>
      <c r="D33" s="97" t="s">
        <v>459</v>
      </c>
      <c r="E33" s="74" t="s">
        <v>460</v>
      </c>
    </row>
    <row r="34" spans="2:5" ht="48" customHeight="1" x14ac:dyDescent="0.3">
      <c r="B34" s="95">
        <v>14</v>
      </c>
      <c r="C34" s="98" t="s">
        <v>461</v>
      </c>
      <c r="D34" s="99" t="s">
        <v>462</v>
      </c>
      <c r="E34" s="74" t="s">
        <v>463</v>
      </c>
    </row>
    <row r="35" spans="2:5" ht="48" customHeight="1" x14ac:dyDescent="0.3">
      <c r="B35" s="95">
        <v>15</v>
      </c>
      <c r="C35" s="96" t="s">
        <v>464</v>
      </c>
      <c r="D35" s="97" t="s">
        <v>465</v>
      </c>
      <c r="E35" s="74" t="s">
        <v>453</v>
      </c>
    </row>
    <row r="37" spans="2:5" ht="15" customHeight="1" x14ac:dyDescent="0.3">
      <c r="B37" s="5" t="s">
        <v>31</v>
      </c>
    </row>
  </sheetData>
  <mergeCells count="6">
    <mergeCell ref="B19:E19"/>
    <mergeCell ref="B2:E2"/>
    <mergeCell ref="B3:E3"/>
    <mergeCell ref="B7:E7"/>
    <mergeCell ref="B8:E8"/>
    <mergeCell ref="B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7" width="20" customWidth="1"/>
  </cols>
  <sheetData>
    <row r="1" spans="1:7" ht="15" customHeight="1" x14ac:dyDescent="0.3">
      <c r="A1" s="1"/>
      <c r="B1" s="1"/>
      <c r="C1" s="1"/>
      <c r="D1" s="1"/>
      <c r="E1" s="1"/>
      <c r="F1" s="1"/>
      <c r="G1" s="1"/>
    </row>
    <row r="2" spans="1:7" ht="19.5" customHeight="1" x14ac:dyDescent="0.4">
      <c r="A2" s="1"/>
      <c r="B2" s="124" t="s">
        <v>466</v>
      </c>
      <c r="C2" s="124"/>
      <c r="D2" s="124"/>
      <c r="E2" s="124"/>
      <c r="F2" s="124"/>
      <c r="G2" s="124"/>
    </row>
    <row r="3" spans="1:7" ht="15" customHeight="1" x14ac:dyDescent="0.3">
      <c r="A3" s="1"/>
      <c r="B3" s="125" t="s">
        <v>467</v>
      </c>
      <c r="C3" s="125"/>
      <c r="D3" s="125"/>
      <c r="E3" s="125"/>
      <c r="F3" s="125"/>
      <c r="G3" s="125"/>
    </row>
    <row r="4" spans="1:7" ht="15" customHeight="1" x14ac:dyDescent="0.3">
      <c r="A4" s="1"/>
      <c r="B4" s="1"/>
      <c r="C4" s="1"/>
      <c r="D4" s="1"/>
      <c r="E4" s="1"/>
      <c r="F4" s="1"/>
      <c r="G4" s="1"/>
    </row>
    <row r="5" spans="1:7" ht="15" customHeight="1" x14ac:dyDescent="0.3">
      <c r="A5" s="1"/>
      <c r="B5" s="1"/>
      <c r="C5" s="1"/>
      <c r="D5" s="1"/>
      <c r="E5" s="1"/>
      <c r="F5" s="1"/>
      <c r="G5" s="1"/>
    </row>
    <row r="7" spans="1:7" ht="24" customHeight="1" x14ac:dyDescent="0.3">
      <c r="B7" s="118" t="s">
        <v>468</v>
      </c>
      <c r="C7" s="118"/>
      <c r="D7" s="118"/>
      <c r="E7" s="118"/>
      <c r="F7" s="118"/>
      <c r="G7" s="118"/>
    </row>
    <row r="8" spans="1:7" ht="15" customHeight="1" x14ac:dyDescent="0.3">
      <c r="B8" s="6" t="s">
        <v>469</v>
      </c>
      <c r="C8" s="6" t="s">
        <v>470</v>
      </c>
    </row>
    <row r="9" spans="1:7" ht="24" customHeight="1" x14ac:dyDescent="0.3">
      <c r="B9" s="130" t="s">
        <v>471</v>
      </c>
      <c r="C9" s="130"/>
    </row>
    <row r="10" spans="1:7" ht="23.25" customHeight="1" x14ac:dyDescent="0.3">
      <c r="B10" s="32" t="s">
        <v>472</v>
      </c>
      <c r="C10" s="33">
        <v>180000</v>
      </c>
    </row>
    <row r="11" spans="1:7" ht="23.25" customHeight="1" x14ac:dyDescent="0.3">
      <c r="B11" s="32" t="s">
        <v>473</v>
      </c>
      <c r="C11" s="33">
        <v>250000</v>
      </c>
    </row>
    <row r="12" spans="1:7" ht="23.25" customHeight="1" x14ac:dyDescent="0.3">
      <c r="B12" s="32" t="s">
        <v>474</v>
      </c>
      <c r="C12" s="33">
        <v>45000</v>
      </c>
    </row>
    <row r="13" spans="1:7" ht="23.25" customHeight="1" x14ac:dyDescent="0.3">
      <c r="B13" s="32" t="s">
        <v>475</v>
      </c>
      <c r="C13" s="33">
        <v>60000</v>
      </c>
    </row>
    <row r="14" spans="1:7" ht="23.25" customHeight="1" x14ac:dyDescent="0.3">
      <c r="B14" s="32" t="s">
        <v>476</v>
      </c>
      <c r="C14" s="33">
        <v>80000</v>
      </c>
    </row>
    <row r="15" spans="1:7" ht="24" customHeight="1" x14ac:dyDescent="0.3">
      <c r="B15" s="130" t="s">
        <v>477</v>
      </c>
      <c r="C15" s="130"/>
    </row>
    <row r="16" spans="1:7" ht="23.25" customHeight="1" x14ac:dyDescent="0.3">
      <c r="B16" s="32" t="s">
        <v>478</v>
      </c>
      <c r="C16" s="33">
        <v>15000</v>
      </c>
    </row>
    <row r="17" spans="2:7" ht="23.25" customHeight="1" x14ac:dyDescent="0.3">
      <c r="B17" s="32" t="s">
        <v>479</v>
      </c>
      <c r="C17" s="33">
        <v>75</v>
      </c>
    </row>
    <row r="18" spans="2:7" ht="15" customHeight="1" x14ac:dyDescent="0.3">
      <c r="B18" s="32" t="s">
        <v>480</v>
      </c>
      <c r="C18" s="33">
        <v>800000</v>
      </c>
    </row>
    <row r="19" spans="2:7" ht="23.25" customHeight="1" x14ac:dyDescent="0.3">
      <c r="B19" s="32" t="s">
        <v>481</v>
      </c>
      <c r="C19" s="33">
        <v>200000</v>
      </c>
    </row>
    <row r="20" spans="2:7" ht="23.25" customHeight="1" x14ac:dyDescent="0.3">
      <c r="B20" s="32" t="s">
        <v>482</v>
      </c>
      <c r="C20" s="33">
        <v>350000</v>
      </c>
    </row>
    <row r="21" spans="2:7" ht="23.25" customHeight="1" x14ac:dyDescent="0.3">
      <c r="B21" s="32" t="s">
        <v>483</v>
      </c>
      <c r="C21" s="33">
        <v>120000</v>
      </c>
    </row>
    <row r="22" spans="2:7" ht="24" customHeight="1" x14ac:dyDescent="0.3">
      <c r="B22" s="130" t="s">
        <v>484</v>
      </c>
      <c r="C22" s="130"/>
    </row>
    <row r="23" spans="2:7" ht="15" customHeight="1" x14ac:dyDescent="0.3">
      <c r="B23" s="32" t="s">
        <v>485</v>
      </c>
      <c r="C23" s="33">
        <v>5</v>
      </c>
    </row>
    <row r="24" spans="2:7" ht="15" customHeight="1" x14ac:dyDescent="0.3">
      <c r="B24" s="32" t="s">
        <v>486</v>
      </c>
      <c r="C24" s="100">
        <v>0.08</v>
      </c>
    </row>
    <row r="25" spans="2:7" ht="23.25" customHeight="1" x14ac:dyDescent="0.3">
      <c r="B25" s="32" t="s">
        <v>487</v>
      </c>
      <c r="C25" s="100">
        <v>0.4</v>
      </c>
    </row>
    <row r="28" spans="2:7" ht="24" customHeight="1" x14ac:dyDescent="0.3">
      <c r="B28" s="121" t="s">
        <v>488</v>
      </c>
      <c r="C28" s="121"/>
      <c r="D28" s="121"/>
      <c r="E28" s="121"/>
      <c r="F28" s="121"/>
      <c r="G28" s="121"/>
    </row>
    <row r="29" spans="2:7" ht="15" customHeight="1" x14ac:dyDescent="0.3">
      <c r="B29" s="2" t="s">
        <v>489</v>
      </c>
      <c r="C29" s="2" t="s">
        <v>490</v>
      </c>
      <c r="D29" s="2" t="s">
        <v>491</v>
      </c>
      <c r="E29" s="2" t="s">
        <v>492</v>
      </c>
      <c r="F29" s="2" t="s">
        <v>493</v>
      </c>
      <c r="G29" s="2" t="s">
        <v>494</v>
      </c>
    </row>
    <row r="30" spans="2:7" ht="24" customHeight="1" x14ac:dyDescent="0.3">
      <c r="B30" s="131" t="s">
        <v>495</v>
      </c>
      <c r="C30" s="131"/>
      <c r="D30" s="131"/>
      <c r="E30" s="131"/>
      <c r="F30" s="131"/>
      <c r="G30" s="131"/>
    </row>
    <row r="31" spans="2:7" ht="15" customHeight="1" x14ac:dyDescent="0.3">
      <c r="B31" s="101" t="s">
        <v>496</v>
      </c>
      <c r="C31" s="27">
        <f>C10</f>
        <v>180000</v>
      </c>
      <c r="D31" s="27">
        <f>C10</f>
        <v>180000</v>
      </c>
      <c r="E31" s="27">
        <f>C10</f>
        <v>180000</v>
      </c>
      <c r="F31" s="27">
        <f>C10</f>
        <v>180000</v>
      </c>
      <c r="G31" s="27">
        <f>C10</f>
        <v>180000</v>
      </c>
    </row>
    <row r="32" spans="2:7" ht="15" customHeight="1" x14ac:dyDescent="0.3">
      <c r="B32" s="102" t="s">
        <v>497</v>
      </c>
      <c r="C32" s="27">
        <f>C11</f>
        <v>250000</v>
      </c>
      <c r="D32" s="27">
        <f>0</f>
        <v>0</v>
      </c>
      <c r="E32" s="27">
        <f>0</f>
        <v>0</v>
      </c>
      <c r="F32" s="27">
        <f>0</f>
        <v>0</v>
      </c>
      <c r="G32" s="27">
        <f>0</f>
        <v>0</v>
      </c>
    </row>
    <row r="33" spans="2:7" ht="15" customHeight="1" x14ac:dyDescent="0.3">
      <c r="B33" s="101" t="s">
        <v>498</v>
      </c>
      <c r="C33" s="27">
        <f>C12</f>
        <v>45000</v>
      </c>
      <c r="D33" s="27">
        <f>C12*0.3</f>
        <v>13500</v>
      </c>
      <c r="E33" s="27">
        <f>C12*0.2</f>
        <v>9000</v>
      </c>
      <c r="F33" s="27">
        <f>0</f>
        <v>0</v>
      </c>
      <c r="G33" s="27">
        <f>0</f>
        <v>0</v>
      </c>
    </row>
    <row r="34" spans="2:7" ht="15" customHeight="1" x14ac:dyDescent="0.3">
      <c r="B34" s="102" t="s">
        <v>499</v>
      </c>
      <c r="C34" s="27">
        <f>C13</f>
        <v>60000</v>
      </c>
      <c r="D34" s="27">
        <f>C13</f>
        <v>60000</v>
      </c>
      <c r="E34" s="27">
        <f>C13</f>
        <v>60000</v>
      </c>
      <c r="F34" s="27">
        <f>C13</f>
        <v>60000</v>
      </c>
      <c r="G34" s="27">
        <f>C13</f>
        <v>60000</v>
      </c>
    </row>
    <row r="35" spans="2:7" ht="15" customHeight="1" x14ac:dyDescent="0.3">
      <c r="B35" s="101" t="s">
        <v>500</v>
      </c>
      <c r="C35" s="27">
        <f>C14</f>
        <v>80000</v>
      </c>
      <c r="D35" s="27">
        <f>C14</f>
        <v>80000</v>
      </c>
      <c r="E35" s="27">
        <f>C14</f>
        <v>80000</v>
      </c>
      <c r="F35" s="27">
        <f>C14</f>
        <v>80000</v>
      </c>
      <c r="G35" s="27">
        <f>C14</f>
        <v>80000</v>
      </c>
    </row>
    <row r="36" spans="2:7" ht="15" customHeight="1" x14ac:dyDescent="0.3">
      <c r="B36" s="103" t="s">
        <v>501</v>
      </c>
      <c r="C36" s="104">
        <f>SUM(C30:C35)</f>
        <v>615000</v>
      </c>
      <c r="D36" s="104">
        <f>SUM(D30:D35)</f>
        <v>333500</v>
      </c>
      <c r="E36" s="104">
        <f>SUM(E30:E35)</f>
        <v>329000</v>
      </c>
      <c r="F36" s="104">
        <f>SUM(F30:F35)</f>
        <v>320000</v>
      </c>
      <c r="G36" s="104">
        <f>SUM(G30:G35)</f>
        <v>320000</v>
      </c>
    </row>
    <row r="37" spans="2:7" ht="24" customHeight="1" x14ac:dyDescent="0.3">
      <c r="B37" s="131" t="s">
        <v>502</v>
      </c>
      <c r="C37" s="131"/>
      <c r="D37" s="131"/>
      <c r="E37" s="131"/>
      <c r="F37" s="131"/>
      <c r="G37" s="131"/>
    </row>
    <row r="38" spans="2:7" ht="15" customHeight="1" x14ac:dyDescent="0.3">
      <c r="B38" s="102" t="s">
        <v>503</v>
      </c>
      <c r="C38" s="44">
        <f>C16*C17*C23</f>
        <v>5625000</v>
      </c>
      <c r="D38" s="12">
        <f>C16*C17</f>
        <v>1125000</v>
      </c>
      <c r="E38" s="44">
        <f>C16*C17</f>
        <v>1125000</v>
      </c>
      <c r="F38" s="12">
        <f>C16*C17*1.1</f>
        <v>1237500</v>
      </c>
      <c r="G38" s="44">
        <f>C16*C17*1.2</f>
        <v>1350000</v>
      </c>
    </row>
    <row r="39" spans="2:7" ht="15" customHeight="1" x14ac:dyDescent="0.3">
      <c r="B39" s="101" t="s">
        <v>504</v>
      </c>
      <c r="C39" s="44">
        <f>C18*C23</f>
        <v>4000000</v>
      </c>
      <c r="D39" s="12">
        <f>C18</f>
        <v>800000</v>
      </c>
      <c r="E39" s="44">
        <f>C18*1.1</f>
        <v>880000.00000000012</v>
      </c>
      <c r="F39" s="12">
        <f>C18*1.2</f>
        <v>960000</v>
      </c>
      <c r="G39" s="44">
        <f>C18*1.3</f>
        <v>1040000</v>
      </c>
    </row>
    <row r="40" spans="2:7" ht="15" customHeight="1" x14ac:dyDescent="0.3">
      <c r="B40" s="102" t="s">
        <v>505</v>
      </c>
      <c r="C40" s="44">
        <f>C19*C23</f>
        <v>1000000</v>
      </c>
      <c r="D40" s="12">
        <f>C19</f>
        <v>200000</v>
      </c>
      <c r="E40" s="44">
        <f>C19</f>
        <v>200000</v>
      </c>
      <c r="F40" s="12">
        <f>C19</f>
        <v>200000</v>
      </c>
      <c r="G40" s="44">
        <f>C19</f>
        <v>200000</v>
      </c>
    </row>
    <row r="41" spans="2:7" ht="15" customHeight="1" x14ac:dyDescent="0.3">
      <c r="B41" s="101" t="s">
        <v>506</v>
      </c>
      <c r="C41" s="44">
        <f>C20*C23</f>
        <v>1750000</v>
      </c>
      <c r="D41" s="12">
        <f>C20</f>
        <v>350000</v>
      </c>
      <c r="E41" s="44">
        <f>C20*1.15</f>
        <v>402499.99999999994</v>
      </c>
      <c r="F41" s="12">
        <f>C20*1.2</f>
        <v>420000</v>
      </c>
      <c r="G41" s="44">
        <f>C20*1.25</f>
        <v>437500</v>
      </c>
    </row>
    <row r="42" spans="2:7" ht="15" customHeight="1" x14ac:dyDescent="0.3">
      <c r="B42" s="102" t="s">
        <v>507</v>
      </c>
      <c r="C42" s="44">
        <f>C21*C23</f>
        <v>600000</v>
      </c>
      <c r="D42" s="12">
        <f>C21</f>
        <v>120000</v>
      </c>
      <c r="E42" s="44">
        <f>C21*1.1</f>
        <v>132000</v>
      </c>
      <c r="F42" s="12">
        <f>C21*1.1</f>
        <v>132000</v>
      </c>
      <c r="G42" s="44">
        <f>C21*1.1</f>
        <v>132000</v>
      </c>
    </row>
    <row r="43" spans="2:7" ht="15" customHeight="1" x14ac:dyDescent="0.3">
      <c r="B43" s="103" t="s">
        <v>508</v>
      </c>
      <c r="C43" s="31">
        <f>SUM(C37:C42)</f>
        <v>12975000</v>
      </c>
      <c r="D43" s="31">
        <f>SUM(D37:D42)</f>
        <v>2595000</v>
      </c>
      <c r="E43" s="31">
        <f>SUM(E37:E42)</f>
        <v>2739500</v>
      </c>
      <c r="F43" s="31">
        <f>SUM(F37:F42)</f>
        <v>2949500</v>
      </c>
      <c r="G43" s="31">
        <f>SUM(G37:G42)</f>
        <v>3159500</v>
      </c>
    </row>
    <row r="44" spans="2:7" ht="15" customHeight="1" x14ac:dyDescent="0.3">
      <c r="B44" s="103" t="s">
        <v>509</v>
      </c>
      <c r="C44" s="30">
        <f>C43-C36</f>
        <v>12360000</v>
      </c>
      <c r="D44" s="30">
        <f>D43-D36</f>
        <v>2261500</v>
      </c>
      <c r="E44" s="30">
        <f>E43-E36</f>
        <v>2410500</v>
      </c>
      <c r="F44" s="30">
        <f>F43-F36</f>
        <v>2629500</v>
      </c>
      <c r="G44" s="30">
        <f>G43-G36</f>
        <v>2839500</v>
      </c>
    </row>
    <row r="45" spans="2:7" ht="15" customHeight="1" x14ac:dyDescent="0.3">
      <c r="B45" s="103" t="s">
        <v>510</v>
      </c>
      <c r="C45" s="30">
        <f>C44</f>
        <v>12360000</v>
      </c>
      <c r="D45" s="30">
        <f>C45+D44</f>
        <v>14621500</v>
      </c>
      <c r="E45" s="30">
        <f>D45+E44</f>
        <v>17032000</v>
      </c>
      <c r="F45" s="30">
        <f>E45+F44</f>
        <v>19661500</v>
      </c>
      <c r="G45" s="30">
        <f>F45+G44</f>
        <v>22501000</v>
      </c>
    </row>
    <row r="46" spans="2:7" ht="15" customHeight="1" x14ac:dyDescent="0.3">
      <c r="B46" s="103" t="s">
        <v>511</v>
      </c>
      <c r="C46" s="30">
        <f>C44/(1+C24)^1</f>
        <v>11444444.444444444</v>
      </c>
      <c r="D46" s="30">
        <f>D44/(1+C24)^2</f>
        <v>1938871.7421124827</v>
      </c>
      <c r="E46" s="30">
        <f>E44/(1+C24)^3</f>
        <v>1913532.6169791189</v>
      </c>
      <c r="F46" s="30">
        <f>F44/(1+C24)^4</f>
        <v>1932760.9979282739</v>
      </c>
      <c r="G46" s="30">
        <f>G44/(1+C24)^5</f>
        <v>1932515.9879773417</v>
      </c>
    </row>
    <row r="50" spans="2:7" ht="24" customHeight="1" x14ac:dyDescent="0.3">
      <c r="B50" s="121" t="s">
        <v>512</v>
      </c>
      <c r="C50" s="121"/>
      <c r="D50" s="121"/>
      <c r="E50" s="121"/>
      <c r="F50" s="121"/>
      <c r="G50" s="121"/>
    </row>
    <row r="51" spans="2:7" ht="15" customHeight="1" x14ac:dyDescent="0.3">
      <c r="B51" s="2" t="s">
        <v>513</v>
      </c>
      <c r="C51" s="2" t="s">
        <v>514</v>
      </c>
      <c r="D51" s="2" t="s">
        <v>515</v>
      </c>
    </row>
    <row r="52" spans="2:7" ht="15" customHeight="1" x14ac:dyDescent="0.3">
      <c r="B52" s="80" t="s">
        <v>516</v>
      </c>
      <c r="C52" s="105">
        <f>SUM(C36:G36)</f>
        <v>1917500</v>
      </c>
      <c r="D52" s="31">
        <f>SUM(C36:G36)</f>
        <v>1917500</v>
      </c>
    </row>
    <row r="53" spans="2:7" ht="15" customHeight="1" x14ac:dyDescent="0.3">
      <c r="B53" s="45" t="s">
        <v>517</v>
      </c>
      <c r="C53" s="54">
        <f>SUM(C43:G43)</f>
        <v>24418500</v>
      </c>
      <c r="D53" s="31">
        <f>SUM(C43:G43)</f>
        <v>24418500</v>
      </c>
    </row>
    <row r="54" spans="2:7" ht="15" customHeight="1" x14ac:dyDescent="0.3">
      <c r="B54" s="80" t="s">
        <v>518</v>
      </c>
      <c r="C54" s="105">
        <f>SUM(C46:G46)-C11</f>
        <v>18912125.78944166</v>
      </c>
      <c r="D54" s="31">
        <f>SUM(C46:G46)-C11</f>
        <v>18912125.78944166</v>
      </c>
    </row>
    <row r="55" spans="2:7" ht="15" customHeight="1" x14ac:dyDescent="0.3">
      <c r="B55" s="45" t="s">
        <v>519</v>
      </c>
      <c r="C55" s="54">
        <f>(SUM(C43:G43)-SUM(C36:G36))/SUM(C36:G36)</f>
        <v>11.734550195567145</v>
      </c>
      <c r="D55" s="89">
        <f>(SUM(C43:G43)-SUM(C36:G36))/SUM(C36:G36)</f>
        <v>11.734550195567145</v>
      </c>
    </row>
    <row r="56" spans="2:7" ht="15" customHeight="1" x14ac:dyDescent="0.3">
      <c r="B56" s="80" t="s">
        <v>520</v>
      </c>
      <c r="C56" s="105">
        <f>MATCH(TRUE(),INDEX(C45:G45&gt;0,0),0)</f>
        <v>1</v>
      </c>
      <c r="D56" s="106">
        <f>MATCH(TRUE(),INDEX(C45:G45&gt;0,0),0)</f>
        <v>1</v>
      </c>
    </row>
    <row r="57" spans="2:7" ht="15" customHeight="1" x14ac:dyDescent="0.3">
      <c r="B57" s="45" t="s">
        <v>521</v>
      </c>
      <c r="C57" s="54">
        <f>MATCH(TRUE(),INDEX(C45:G45&gt;=0,0),0)</f>
        <v>1</v>
      </c>
      <c r="D57" s="48">
        <f>MATCH(TRUE(),INDEX(C45:G45&gt;=0,0),0)</f>
        <v>1</v>
      </c>
    </row>
    <row r="59" spans="2:7" ht="15" customHeight="1" x14ac:dyDescent="0.3">
      <c r="B59" s="5" t="s">
        <v>31</v>
      </c>
    </row>
  </sheetData>
  <mergeCells count="10">
    <mergeCell ref="B2:G2"/>
    <mergeCell ref="B3:G3"/>
    <mergeCell ref="B7:G7"/>
    <mergeCell ref="B9:C9"/>
    <mergeCell ref="B15:C15"/>
    <mergeCell ref="B22:C22"/>
    <mergeCell ref="B28:G28"/>
    <mergeCell ref="B30:G30"/>
    <mergeCell ref="B37:G37"/>
    <mergeCell ref="B50:G5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8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55" customWidth="1"/>
    <col min="3" max="3" width="25" customWidth="1"/>
  </cols>
  <sheetData>
    <row r="1" spans="1:3" ht="15" customHeight="1" x14ac:dyDescent="0.3">
      <c r="A1" s="1"/>
      <c r="B1" s="1"/>
      <c r="C1" s="1"/>
    </row>
    <row r="2" spans="1:3" ht="17.25" customHeight="1" x14ac:dyDescent="0.3">
      <c r="A2" s="1"/>
      <c r="B2" s="136" t="s">
        <v>522</v>
      </c>
      <c r="C2" s="136"/>
    </row>
    <row r="3" spans="1:3" ht="15" customHeight="1" x14ac:dyDescent="0.3">
      <c r="A3" s="1"/>
      <c r="B3" s="137" t="s">
        <v>523</v>
      </c>
      <c r="C3" s="137"/>
    </row>
    <row r="4" spans="1:3" ht="15" customHeight="1" x14ac:dyDescent="0.3">
      <c r="A4" s="1"/>
      <c r="B4" s="1"/>
      <c r="C4" s="1"/>
    </row>
    <row r="5" spans="1:3" ht="15" customHeight="1" x14ac:dyDescent="0.3">
      <c r="A5" s="1"/>
      <c r="B5" s="1"/>
      <c r="C5" s="1"/>
    </row>
    <row r="7" spans="1:3" ht="24" customHeight="1" x14ac:dyDescent="0.3">
      <c r="B7" s="118" t="s">
        <v>524</v>
      </c>
      <c r="C7" s="118"/>
    </row>
    <row r="8" spans="1:3" ht="18" customHeight="1" x14ac:dyDescent="0.3">
      <c r="B8" s="115" t="s">
        <v>525</v>
      </c>
      <c r="C8" s="115"/>
    </row>
    <row r="9" spans="1:3" ht="18" customHeight="1" x14ac:dyDescent="0.3">
      <c r="B9" s="135" t="s">
        <v>526</v>
      </c>
      <c r="C9" s="135"/>
    </row>
    <row r="10" spans="1:3" ht="18" customHeight="1" x14ac:dyDescent="0.3">
      <c r="B10" s="107" t="s">
        <v>527</v>
      </c>
      <c r="C10" s="108" t="s">
        <v>528</v>
      </c>
    </row>
    <row r="11" spans="1:3" ht="18" customHeight="1" x14ac:dyDescent="0.3">
      <c r="B11" s="115" t="s">
        <v>529</v>
      </c>
      <c r="C11" s="115"/>
    </row>
    <row r="12" spans="1:3" ht="18" customHeight="1" x14ac:dyDescent="0.3">
      <c r="B12" s="135" t="s">
        <v>530</v>
      </c>
      <c r="C12" s="135"/>
    </row>
    <row r="13" spans="1:3" ht="18" customHeight="1" x14ac:dyDescent="0.3">
      <c r="B13" s="107" t="s">
        <v>527</v>
      </c>
      <c r="C13" s="108" t="s">
        <v>531</v>
      </c>
    </row>
    <row r="14" spans="1:3" ht="18" customHeight="1" x14ac:dyDescent="0.3">
      <c r="B14" s="115" t="s">
        <v>532</v>
      </c>
      <c r="C14" s="115"/>
    </row>
    <row r="15" spans="1:3" ht="18" customHeight="1" x14ac:dyDescent="0.3">
      <c r="B15" s="135" t="s">
        <v>533</v>
      </c>
      <c r="C15" s="135"/>
    </row>
    <row r="16" spans="1:3" ht="18" customHeight="1" x14ac:dyDescent="0.3">
      <c r="B16" s="107" t="s">
        <v>527</v>
      </c>
      <c r="C16" s="108" t="s">
        <v>531</v>
      </c>
    </row>
    <row r="17" spans="2:3" ht="18" customHeight="1" x14ac:dyDescent="0.3">
      <c r="B17" s="115" t="s">
        <v>534</v>
      </c>
      <c r="C17" s="115"/>
    </row>
    <row r="18" spans="2:3" ht="18" customHeight="1" x14ac:dyDescent="0.3">
      <c r="B18" s="135" t="s">
        <v>535</v>
      </c>
      <c r="C18" s="135"/>
    </row>
    <row r="19" spans="2:3" ht="18" customHeight="1" x14ac:dyDescent="0.3">
      <c r="B19" s="107" t="s">
        <v>527</v>
      </c>
      <c r="C19" s="108" t="s">
        <v>536</v>
      </c>
    </row>
    <row r="20" spans="2:3" ht="18" customHeight="1" x14ac:dyDescent="0.3">
      <c r="B20" s="115" t="s">
        <v>537</v>
      </c>
      <c r="C20" s="115"/>
    </row>
    <row r="21" spans="2:3" ht="18" customHeight="1" x14ac:dyDescent="0.3">
      <c r="B21" s="135" t="s">
        <v>538</v>
      </c>
      <c r="C21" s="135"/>
    </row>
    <row r="22" spans="2:3" ht="18" customHeight="1" x14ac:dyDescent="0.3">
      <c r="B22" s="107" t="s">
        <v>527</v>
      </c>
      <c r="C22" s="108" t="s">
        <v>528</v>
      </c>
    </row>
    <row r="23" spans="2:3" ht="18" customHeight="1" x14ac:dyDescent="0.3">
      <c r="B23" s="115" t="s">
        <v>539</v>
      </c>
      <c r="C23" s="115"/>
    </row>
    <row r="24" spans="2:3" ht="18" customHeight="1" x14ac:dyDescent="0.3">
      <c r="B24" s="135" t="s">
        <v>540</v>
      </c>
      <c r="C24" s="135"/>
    </row>
    <row r="25" spans="2:3" ht="18" customHeight="1" x14ac:dyDescent="0.3">
      <c r="B25" s="107" t="s">
        <v>527</v>
      </c>
      <c r="C25" s="108" t="s">
        <v>528</v>
      </c>
    </row>
    <row r="26" spans="2:3" ht="18" customHeight="1" x14ac:dyDescent="0.3">
      <c r="B26" s="115" t="s">
        <v>541</v>
      </c>
      <c r="C26" s="115"/>
    </row>
    <row r="27" spans="2:3" ht="18" customHeight="1" x14ac:dyDescent="0.3">
      <c r="B27" s="135" t="s">
        <v>542</v>
      </c>
      <c r="C27" s="135"/>
    </row>
    <row r="28" spans="2:3" ht="18" customHeight="1" x14ac:dyDescent="0.3">
      <c r="B28" s="107" t="s">
        <v>527</v>
      </c>
      <c r="C28" s="108" t="s">
        <v>531</v>
      </c>
    </row>
    <row r="29" spans="2:3" ht="18" customHeight="1" x14ac:dyDescent="0.3">
      <c r="B29" s="115" t="s">
        <v>543</v>
      </c>
      <c r="C29" s="115"/>
    </row>
    <row r="30" spans="2:3" ht="18" customHeight="1" x14ac:dyDescent="0.3">
      <c r="B30" s="135" t="s">
        <v>544</v>
      </c>
      <c r="C30" s="135"/>
    </row>
    <row r="31" spans="2:3" ht="18" customHeight="1" x14ac:dyDescent="0.3">
      <c r="B31" s="107" t="s">
        <v>527</v>
      </c>
      <c r="C31" s="108" t="s">
        <v>531</v>
      </c>
    </row>
    <row r="32" spans="2:3" ht="18" customHeight="1" x14ac:dyDescent="0.3">
      <c r="B32" s="115" t="s">
        <v>545</v>
      </c>
      <c r="C32" s="115"/>
    </row>
    <row r="33" spans="2:3" ht="18" customHeight="1" x14ac:dyDescent="0.3">
      <c r="B33" s="135" t="s">
        <v>546</v>
      </c>
      <c r="C33" s="135"/>
    </row>
    <row r="34" spans="2:3" ht="18" customHeight="1" x14ac:dyDescent="0.3">
      <c r="B34" s="107" t="s">
        <v>527</v>
      </c>
      <c r="C34" s="108" t="s">
        <v>531</v>
      </c>
    </row>
    <row r="35" spans="2:3" ht="18" customHeight="1" x14ac:dyDescent="0.3">
      <c r="B35" s="115" t="s">
        <v>547</v>
      </c>
      <c r="C35" s="115"/>
    </row>
    <row r="36" spans="2:3" ht="18" customHeight="1" x14ac:dyDescent="0.3">
      <c r="B36" s="135" t="s">
        <v>548</v>
      </c>
      <c r="C36" s="135"/>
    </row>
    <row r="37" spans="2:3" ht="18" customHeight="1" x14ac:dyDescent="0.3">
      <c r="B37" s="107" t="s">
        <v>527</v>
      </c>
      <c r="C37" s="108" t="s">
        <v>528</v>
      </c>
    </row>
    <row r="38" spans="2:3" ht="24" customHeight="1" x14ac:dyDescent="0.3">
      <c r="B38" s="118" t="s">
        <v>549</v>
      </c>
      <c r="C38" s="118"/>
    </row>
    <row r="39" spans="2:3" ht="15" customHeight="1" x14ac:dyDescent="0.3">
      <c r="B39" s="115" t="s">
        <v>550</v>
      </c>
      <c r="C39" s="115"/>
    </row>
    <row r="40" spans="2:3" ht="27.75" customHeight="1" x14ac:dyDescent="0.3">
      <c r="B40" s="133"/>
      <c r="C40" s="133"/>
    </row>
    <row r="41" spans="2:3" ht="27.75" customHeight="1" x14ac:dyDescent="0.3">
      <c r="B41" s="133"/>
      <c r="C41" s="133"/>
    </row>
    <row r="42" spans="2:3" ht="27.75" customHeight="1" x14ac:dyDescent="0.3">
      <c r="B42" s="133"/>
      <c r="C42" s="133"/>
    </row>
    <row r="43" spans="2:3" ht="27.75" customHeight="1" x14ac:dyDescent="0.3">
      <c r="B43" s="133"/>
      <c r="C43" s="133"/>
    </row>
    <row r="44" spans="2:3" ht="15" customHeight="1" x14ac:dyDescent="0.3">
      <c r="B44" s="115" t="s">
        <v>551</v>
      </c>
      <c r="C44" s="115"/>
    </row>
    <row r="45" spans="2:3" ht="27.75" customHeight="1" x14ac:dyDescent="0.3">
      <c r="B45" s="133"/>
      <c r="C45" s="133"/>
    </row>
    <row r="46" spans="2:3" ht="27.75" customHeight="1" x14ac:dyDescent="0.3">
      <c r="B46" s="133"/>
      <c r="C46" s="133"/>
    </row>
    <row r="47" spans="2:3" ht="27.75" customHeight="1" x14ac:dyDescent="0.3">
      <c r="B47" s="133"/>
      <c r="C47" s="133"/>
    </row>
    <row r="48" spans="2:3" ht="27.75" customHeight="1" x14ac:dyDescent="0.3">
      <c r="B48" s="133"/>
      <c r="C48" s="133"/>
    </row>
    <row r="49" spans="2:3" ht="15" customHeight="1" x14ac:dyDescent="0.3">
      <c r="B49" s="115" t="s">
        <v>552</v>
      </c>
      <c r="C49" s="115"/>
    </row>
    <row r="50" spans="2:3" ht="27.75" customHeight="1" x14ac:dyDescent="0.3">
      <c r="B50" s="133"/>
      <c r="C50" s="133"/>
    </row>
    <row r="51" spans="2:3" ht="27.75" customHeight="1" x14ac:dyDescent="0.3">
      <c r="B51" s="133"/>
      <c r="C51" s="133"/>
    </row>
    <row r="52" spans="2:3" ht="27.75" customHeight="1" x14ac:dyDescent="0.3">
      <c r="B52" s="133"/>
      <c r="C52" s="133"/>
    </row>
    <row r="53" spans="2:3" ht="27.75" customHeight="1" x14ac:dyDescent="0.3">
      <c r="B53" s="133"/>
      <c r="C53" s="133"/>
    </row>
    <row r="54" spans="2:3" ht="15" customHeight="1" x14ac:dyDescent="0.3">
      <c r="B54" s="115" t="s">
        <v>553</v>
      </c>
      <c r="C54" s="115"/>
    </row>
    <row r="55" spans="2:3" ht="27.75" customHeight="1" x14ac:dyDescent="0.3">
      <c r="B55" s="133"/>
      <c r="C55" s="133"/>
    </row>
    <row r="56" spans="2:3" ht="27.75" customHeight="1" x14ac:dyDescent="0.3">
      <c r="B56" s="133"/>
      <c r="C56" s="133"/>
    </row>
    <row r="57" spans="2:3" ht="27.75" customHeight="1" x14ac:dyDescent="0.3">
      <c r="B57" s="133"/>
      <c r="C57" s="133"/>
    </row>
    <row r="58" spans="2:3" ht="27.75" customHeight="1" x14ac:dyDescent="0.3">
      <c r="B58" s="133"/>
      <c r="C58" s="133"/>
    </row>
    <row r="59" spans="2:3" ht="15" customHeight="1" x14ac:dyDescent="0.3">
      <c r="B59" s="115" t="s">
        <v>554</v>
      </c>
      <c r="C59" s="115"/>
    </row>
    <row r="60" spans="2:3" ht="27.75" customHeight="1" x14ac:dyDescent="0.3">
      <c r="B60" s="133"/>
      <c r="C60" s="133"/>
    </row>
    <row r="61" spans="2:3" ht="27.75" customHeight="1" x14ac:dyDescent="0.3">
      <c r="B61" s="133"/>
      <c r="C61" s="133"/>
    </row>
    <row r="62" spans="2:3" ht="27.75" customHeight="1" x14ac:dyDescent="0.3">
      <c r="B62" s="133"/>
      <c r="C62" s="133"/>
    </row>
    <row r="63" spans="2:3" ht="27.75" customHeight="1" x14ac:dyDescent="0.3">
      <c r="B63" s="133"/>
      <c r="C63" s="133"/>
    </row>
    <row r="65" spans="2:3" ht="27.75" customHeight="1" x14ac:dyDescent="0.3">
      <c r="B65" s="134" t="s">
        <v>555</v>
      </c>
      <c r="C65" s="134"/>
    </row>
    <row r="66" spans="2:3" ht="15" customHeight="1" x14ac:dyDescent="0.3">
      <c r="B66" s="132" t="s">
        <v>556</v>
      </c>
      <c r="C66" s="132"/>
    </row>
    <row r="68" spans="2:3" ht="15" customHeight="1" x14ac:dyDescent="0.3">
      <c r="B68" s="5" t="s">
        <v>31</v>
      </c>
    </row>
  </sheetData>
  <mergeCells count="51">
    <mergeCell ref="B2:C2"/>
    <mergeCell ref="B3:C3"/>
    <mergeCell ref="B7:C7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  <mergeCell ref="B29:C29"/>
    <mergeCell ref="B30:C30"/>
    <mergeCell ref="B32:C32"/>
    <mergeCell ref="B33:C33"/>
    <mergeCell ref="B35:C35"/>
    <mergeCell ref="B36:C36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6:C66"/>
    <mergeCell ref="B60:C60"/>
    <mergeCell ref="B61:C61"/>
    <mergeCell ref="B62:C62"/>
    <mergeCell ref="B63:C63"/>
    <mergeCell ref="B65:C6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Instructions</vt:lpstr>
      <vt:lpstr>🏦 CS1 — Fraud Detection</vt:lpstr>
      <vt:lpstr>📈 CS2 — Trading AI</vt:lpstr>
      <vt:lpstr>🪪 CS3 — KYC Dashboard</vt:lpstr>
      <vt:lpstr>⚖️ CS4 — Compliance Tracker</vt:lpstr>
      <vt:lpstr>💰 CS5 — Robo-Advisor</vt:lpstr>
      <vt:lpstr>🤖 CS6 — Prompt Engineering</vt:lpstr>
      <vt:lpstr>📊 CS7 — AI ROI Calculator</vt:lpstr>
      <vt:lpstr>📝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Fakhrul Syahmi</cp:lastModifiedBy>
  <cp:revision>2</cp:revision>
  <dcterms:created xsi:type="dcterms:W3CDTF">2026-05-19T06:30:25Z</dcterms:created>
  <dcterms:modified xsi:type="dcterms:W3CDTF">2026-05-19T16:54:58Z</dcterms:modified>
  <dc:language>en-US</dc:language>
</cp:coreProperties>
</file>