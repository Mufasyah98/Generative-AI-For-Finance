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khrul Syahmi\Desktop\"/>
    </mc:Choice>
  </mc:AlternateContent>
  <xr:revisionPtr revIDLastSave="0" documentId="8_{3A3674CE-956F-4DF6-B73A-79C77B16BEFD}" xr6:coauthVersionLast="47" xr6:coauthVersionMax="47" xr10:uidLastSave="{00000000-0000-0000-0000-000000000000}"/>
  <bookViews>
    <workbookView xWindow="-108" yWindow="-108" windowWidth="23256" windowHeight="12456" firstSheet="13" activeTab="14" xr2:uid="{0CDD8813-7297-4BBF-8C79-C7027133E021}"/>
  </bookViews>
  <sheets>
    <sheet name="Company Profile" sheetId="2" r:id="rId1"/>
    <sheet name="Bank Transactions" sheetId="3" r:id="rId2"/>
    <sheet name="Internal Ledger" sheetId="4" r:id="rId3"/>
    <sheet name="Accounts Payable" sheetId="5" r:id="rId4"/>
    <sheet name="Accounts Receivable" sheetId="6" r:id="rId5"/>
    <sheet name="Budget vs Actual" sheetId="7" r:id="rId6"/>
    <sheet name="Expense Claims" sheetId="8" r:id="rId7"/>
    <sheet name="Monthly P&amp;L" sheetId="9" r:id="rId8"/>
    <sheet name="Case Study 1 - Bank Recon" sheetId="10" r:id="rId9"/>
    <sheet name="Case Study 2 - Invoice Match" sheetId="11" r:id="rId10"/>
    <sheet name="Case Study 3 - Budget Variance" sheetId="12" r:id="rId11"/>
    <sheet name="Case Study 4 - Expense Anomaly" sheetId="13" r:id="rId12"/>
    <sheet name="Case Study 5 - Cash Flow" sheetId="14" r:id="rId13"/>
    <sheet name="Case Study 6 - Month End" sheetId="15" r:id="rId14"/>
    <sheet name="Case Study 7 - CFO Report" sheetId="16" r:id="rId1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44" i="16" l="1" a="1"/>
  <c r="A44" i="16" s="1"/>
  <c r="A39" i="16" a="1"/>
  <c r="A39" i="16"/>
  <c r="A38" i="16" a="1"/>
  <c r="A38" i="16"/>
  <c r="A37" i="16" a="1"/>
  <c r="A37" i="16"/>
  <c r="A34" i="16" a="1"/>
  <c r="A34" i="16" s="1"/>
  <c r="A29" i="16" a="1"/>
  <c r="A29" i="16" s="1"/>
  <c r="A28" i="16" a="1"/>
  <c r="A28" i="16" s="1"/>
  <c r="A24" i="16" a="1"/>
  <c r="A24" i="16" s="1"/>
  <c r="A23" i="16" a="1"/>
  <c r="A23" i="16"/>
  <c r="A22" i="16" a="1"/>
  <c r="A22" i="16" s="1"/>
  <c r="E44" i="9"/>
  <c r="D44" i="9"/>
  <c r="C44" i="9"/>
  <c r="B44" i="9"/>
  <c r="E43" i="9"/>
  <c r="D43" i="9"/>
  <c r="C43" i="9"/>
  <c r="B43" i="9"/>
  <c r="E42" i="9"/>
  <c r="D42" i="9"/>
  <c r="C42" i="9"/>
  <c r="B42" i="9"/>
  <c r="E40" i="9"/>
  <c r="D40" i="9"/>
  <c r="C40" i="9"/>
  <c r="B40" i="9"/>
  <c r="E34" i="9"/>
  <c r="D34" i="9"/>
  <c r="C34" i="9"/>
  <c r="B34" i="9"/>
  <c r="E32" i="9"/>
  <c r="D32" i="9"/>
  <c r="C32" i="9"/>
  <c r="B32" i="9"/>
  <c r="E19" i="9"/>
  <c r="D19" i="9"/>
  <c r="C19" i="9"/>
  <c r="B19" i="9"/>
  <c r="E17" i="9"/>
  <c r="D17" i="9"/>
  <c r="C17" i="9"/>
  <c r="B17" i="9"/>
  <c r="E11" i="9"/>
  <c r="D11" i="9"/>
  <c r="C11" i="9"/>
  <c r="B11" i="9"/>
  <c r="E45" i="7"/>
  <c r="D45" i="7"/>
  <c r="E44" i="7"/>
  <c r="D44" i="7"/>
  <c r="E43" i="7"/>
  <c r="D43" i="7"/>
  <c r="E42" i="7"/>
  <c r="D42" i="7"/>
  <c r="E41" i="7"/>
  <c r="D41" i="7"/>
  <c r="E40" i="7"/>
  <c r="D40" i="7"/>
  <c r="E39" i="7"/>
  <c r="D39" i="7"/>
  <c r="E38" i="7"/>
  <c r="D38" i="7"/>
  <c r="E37" i="7"/>
  <c r="D37" i="7"/>
  <c r="E36" i="7"/>
  <c r="D36" i="7"/>
  <c r="E35" i="7"/>
  <c r="D35" i="7"/>
  <c r="E34" i="7"/>
  <c r="D34" i="7"/>
  <c r="E33" i="7"/>
  <c r="D33" i="7"/>
  <c r="E32" i="7"/>
  <c r="D32" i="7"/>
  <c r="E31" i="7"/>
  <c r="D31" i="7"/>
  <c r="E30" i="7"/>
  <c r="D30" i="7"/>
  <c r="E29" i="7"/>
  <c r="D29" i="7"/>
  <c r="E28" i="7"/>
  <c r="D28" i="7"/>
  <c r="E27" i="7"/>
  <c r="D27" i="7"/>
  <c r="E26" i="7"/>
  <c r="D26" i="7"/>
  <c r="E25" i="7"/>
  <c r="D25" i="7"/>
  <c r="E24" i="7"/>
  <c r="D24" i="7"/>
  <c r="E23" i="7"/>
  <c r="D23" i="7"/>
  <c r="E22" i="7"/>
  <c r="D22" i="7"/>
  <c r="E21" i="7"/>
  <c r="D21" i="7"/>
  <c r="E20" i="7"/>
  <c r="D20" i="7"/>
  <c r="E19" i="7"/>
  <c r="D19" i="7"/>
  <c r="E18" i="7"/>
  <c r="D18" i="7"/>
  <c r="E17" i="7"/>
  <c r="D17" i="7"/>
  <c r="E16" i="7"/>
  <c r="D16" i="7"/>
  <c r="E15" i="7"/>
  <c r="D15" i="7"/>
  <c r="E14" i="7"/>
  <c r="D14" i="7"/>
  <c r="E13" i="7"/>
  <c r="D13" i="7"/>
  <c r="E12" i="7"/>
  <c r="D12" i="7"/>
  <c r="E11" i="7"/>
  <c r="D11" i="7"/>
  <c r="E10" i="7"/>
  <c r="D10" i="7"/>
  <c r="E9" i="7"/>
  <c r="D9" i="7"/>
  <c r="E8" i="7"/>
  <c r="D8" i="7"/>
  <c r="E7" i="7"/>
  <c r="D7" i="7"/>
  <c r="E6" i="7"/>
  <c r="D6" i="7"/>
  <c r="E5" i="7"/>
  <c r="D5" i="7"/>
  <c r="E4" i="7"/>
  <c r="D4" i="7"/>
  <c r="E3" i="7"/>
  <c r="D3" i="7"/>
  <c r="E2" i="7"/>
  <c r="D2" i="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<sst xmlns="http://schemas.openxmlformats.org/spreadsheetml/2006/main" count="6649" uniqueCount="3204">
  <si>
    <t>AI FOR FINANCE USING MICROSOFT EXCEL</t>
  </si>
  <si>
    <t>Comprehensive Corporate Case Study Training Package</t>
  </si>
  <si>
    <t>COMPANY PROFILE</t>
  </si>
  <si>
    <t>Company Name: GlobalTech Manufacturing Corporation (GTMC)</t>
  </si>
  <si>
    <t>Industry: Industrial Manufacturing &amp; Distribution</t>
  </si>
  <si>
    <t>Founded: 1998</t>
  </si>
  <si>
    <t>Headquarters: Singapore</t>
  </si>
  <si>
    <t>Annual Revenue: USD $287 Million (FY2025)</t>
  </si>
  <si>
    <t>Number of Employees: 2,450</t>
  </si>
  <si>
    <t>Number of Branches: 12 locations across Asia-Pacific, Europe, and Americas</t>
  </si>
  <si>
    <t>BUSINESS BACKGROUND</t>
  </si>
  <si>
    <t>GlobalTech Manufacturing Corporation is a leading industrial equipment manufacturer and distributor.</t>
  </si>
  <si>
    <t>The company designs, manufactures, and distributes precision machinery and automation equipment.</t>
  </si>
  <si>
    <t>GTMC operates with 450+ vendors and serves 1,200+ B2B customers across multiple industries.</t>
  </si>
  <si>
    <t>DEPARTMENTS</t>
  </si>
  <si>
    <t>1. Finance &amp; Accounting - 85 staff</t>
  </si>
  <si>
    <t>2. Operations &amp; Manufacturing - 1,200 staff</t>
  </si>
  <si>
    <t>3. Sales &amp; Marketing - 280 staff</t>
  </si>
  <si>
    <t>4. Supply Chain &amp; Procurement - 180 staff</t>
  </si>
  <si>
    <t>5. Human Resources - 65 staff</t>
  </si>
  <si>
    <t>6. Information Technology - 120 staff</t>
  </si>
  <si>
    <t>7. Research &amp; Development - 180 staff</t>
  </si>
  <si>
    <t>8. Quality Assurance - 95 staff</t>
  </si>
  <si>
    <t>9. Customer Service - 145 staff</t>
  </si>
  <si>
    <t>10. Legal &amp; Compliance - 35 staff</t>
  </si>
  <si>
    <t>11. Facilities &amp; Administration - 65 staff</t>
  </si>
  <si>
    <t>FINANCE TEAM STRUCTURE (85 Staff)</t>
  </si>
  <si>
    <t>Chief Financial Officer (CFO) - 1</t>
  </si>
  <si>
    <t>├── Financial Controller - 1</t>
  </si>
  <si>
    <t>│   ├── General Accounting Manager - 1</t>
  </si>
  <si>
    <t>│   │   ├── Senior Accountants - 4</t>
  </si>
  <si>
    <t>│   │   └── Staff Accountants - 12</t>
  </si>
  <si>
    <t>│   ├── Accounts Payable Manager - 1</t>
  </si>
  <si>
    <t>│   │   ├── AP Supervisors - 3</t>
  </si>
  <si>
    <t>│   │   └── AP Specialists - 15</t>
  </si>
  <si>
    <t>│   ├── Accounts Receivable Manager - 1</t>
  </si>
  <si>
    <t>│   │   ├── AR Supervisors - 2</t>
  </si>
  <si>
    <t>│   │   └── AR Specialists - 10</t>
  </si>
  <si>
    <t>│   └── Tax Manager - 1</t>
  </si>
  <si>
    <t>│       └── Tax Specialists - 4</t>
  </si>
  <si>
    <t>├── Treasury Manager - 1</t>
  </si>
  <si>
    <t>│   ├── Cash Management Specialists - 3</t>
  </si>
  <si>
    <t>│   └── Banking Relations - 2</t>
  </si>
  <si>
    <t>├── FP&amp;A Director - 1</t>
  </si>
  <si>
    <t>│   ├── Senior Financial Analysts - 4</t>
  </si>
  <si>
    <t>│   ├── Financial Analysts - 8</t>
  </si>
  <si>
    <t>│   └── Budget Analysts - 3</t>
  </si>
  <si>
    <t>└── Internal Audit Manager - 1</t>
  </si>
  <si>
    <t xml:space="preserve">    └── Internal Auditors - 5</t>
  </si>
  <si>
    <t>ERP/ACCOUNTING SYSTEM</t>
  </si>
  <si>
    <t>Primary ERP: SAP S/4HANA (implemented 2021)</t>
  </si>
  <si>
    <t>Banking System: Multi-bank connectivity via SWIFT</t>
  </si>
  <si>
    <t>Expense Management: Concur</t>
  </si>
  <si>
    <t>Payroll: ADP Workforce</t>
  </si>
  <si>
    <t>Reporting: SAP Analytics Cloud + Microsoft Excel</t>
  </si>
  <si>
    <t>Document Management: SharePoint</t>
  </si>
  <si>
    <t>CURRENT FINANCE OPERATIONAL PAIN POINTS</t>
  </si>
  <si>
    <t>1. MANUAL RECONCILIATION - Takes 3-4 days per month; 15,000+ transactions monthly</t>
  </si>
  <si>
    <t>2. LARGE TRANSACTION VOLUMES - 8,000+ AP invoices, 5,000+ AR invoices monthly</t>
  </si>
  <si>
    <t>3. MONTH-END CLOSING DELAYS - Currently takes 12 working days; target is 5 days</t>
  </si>
  <si>
    <t>4. DUPLICATE PAYMENTS - Average 0.3% duplicate rate = ~$86K annual loss</t>
  </si>
  <si>
    <t>5. HUMAN ERRORS - Manual data entry errors in 2.1% of transactions</t>
  </si>
  <si>
    <t>6. ABNORMAL SPENDING - Difficulty detecting unusual expense patterns</t>
  </si>
  <si>
    <t>7. SLOW REPORT PREPARATION - CFO reports take 2-3 days to compile</t>
  </si>
  <si>
    <t>8. BUDGET OVERRUNS - 4 departments exceeded budget by &gt;15% last quarter</t>
  </si>
  <si>
    <t>9. INVOICE MISMATCH - 8% of invoices have PO/GRN discrepancies</t>
  </si>
  <si>
    <t>10. CASH FLOW VISIBILITY - Limited 30-day forecast accuracy (currently 72%)</t>
  </si>
  <si>
    <t>TRAINING OBJECTIVES</t>
  </si>
  <si>
    <t>After completing this case study, participants will be able to:</t>
  </si>
  <si>
    <t>✓ Use AI/Copilot in Excel to automate bank reconciliation</t>
  </si>
  <si>
    <t>✓ Identify duplicate payments and invoice mismatches using AI prompts</t>
  </si>
  <si>
    <t>✓ Perform budget variance analysis with AI-generated insights</t>
  </si>
  <si>
    <t>✓ Detect expense anomalies and potential fraud indicators</t>
  </si>
  <si>
    <t>✓ Monitor and forecast cash flow using AI assistance</t>
  </si>
  <si>
    <t>✓ Prepare month-end reports efficiently with AI support</t>
  </si>
  <si>
    <t>✓ Generate executive-level financial summaries using advanced prompts</t>
  </si>
  <si>
    <t>✓ Apply prompt engineering techniques for better AI outputs</t>
  </si>
  <si>
    <t>Transaction Date</t>
  </si>
  <si>
    <t>Transaction ID</t>
  </si>
  <si>
    <t>Bank Reference</t>
  </si>
  <si>
    <t>Description</t>
  </si>
  <si>
    <t>Amount</t>
  </si>
  <si>
    <t>Debit/Credit</t>
  </si>
  <si>
    <t>Bank Account</t>
  </si>
  <si>
    <t>Status</t>
  </si>
  <si>
    <t>BNK202600001</t>
  </si>
  <si>
    <t>REF67336</t>
  </si>
  <si>
    <t>Payment to Metro Services - INV2026117</t>
  </si>
  <si>
    <t>Debit</t>
  </si>
  <si>
    <t>SGD-002-PAYROLL</t>
  </si>
  <si>
    <t>Cleared</t>
  </si>
  <si>
    <t>BNK202600002</t>
  </si>
  <si>
    <t>REF89578</t>
  </si>
  <si>
    <t>Internal Transfer</t>
  </si>
  <si>
    <t>Credit</t>
  </si>
  <si>
    <t>BNK202600003</t>
  </si>
  <si>
    <t>REF54150</t>
  </si>
  <si>
    <t>Payment to Global Logistics Ltd - INV2026403</t>
  </si>
  <si>
    <t>BNK202600004</t>
  </si>
  <si>
    <t>REF34965</t>
  </si>
  <si>
    <t>Interest Payment</t>
  </si>
  <si>
    <t>EUR-001-MAIN</t>
  </si>
  <si>
    <t>BNK202600005</t>
  </si>
  <si>
    <t>REF16098</t>
  </si>
  <si>
    <t>Receipt from Epsilon Engineering - SI2026536</t>
  </si>
  <si>
    <t>SGD-001-MAIN</t>
  </si>
  <si>
    <t>BNK202600006</t>
  </si>
  <si>
    <t>REF56950</t>
  </si>
  <si>
    <t>Utility Bill</t>
  </si>
  <si>
    <t>Reconciled</t>
  </si>
  <si>
    <t>BNK202600007</t>
  </si>
  <si>
    <t>REF41832</t>
  </si>
  <si>
    <t>Receipt from Iota Industries - SI2026989</t>
  </si>
  <si>
    <t>USD-001-MAIN</t>
  </si>
  <si>
    <t>BNK202600008</t>
  </si>
  <si>
    <t>REF48267</t>
  </si>
  <si>
    <t>Payment to Smart Electronics - INV2026954</t>
  </si>
  <si>
    <t>BNK202600009</t>
  </si>
  <si>
    <t>REF30497</t>
  </si>
  <si>
    <t>Payment to Pacific Trading - INV2026895</t>
  </si>
  <si>
    <t>BNK202600010</t>
  </si>
  <si>
    <t>REF46360</t>
  </si>
  <si>
    <t>BNK202600011</t>
  </si>
  <si>
    <t>REF27174</t>
  </si>
  <si>
    <t>Payment to Smart Electronics - INV2026695</t>
  </si>
  <si>
    <t>BNK202600012</t>
  </si>
  <si>
    <t>REF45800</t>
  </si>
  <si>
    <t>Payment to Singapore Telecom - INV2026602</t>
  </si>
  <si>
    <t>BNK202600013</t>
  </si>
  <si>
    <t>REF19238</t>
  </si>
  <si>
    <t>Receipt from Delta Manufacturing - SI2026920</t>
  </si>
  <si>
    <t>BNK202600014</t>
  </si>
  <si>
    <t>REF48817</t>
  </si>
  <si>
    <t>Payment to Utility Power Corp - INV2026019</t>
  </si>
  <si>
    <t>BNK202600015</t>
  </si>
  <si>
    <t>REF34060</t>
  </si>
  <si>
    <t>Receipt from Delta Manufacturing - SI2026613</t>
  </si>
  <si>
    <t>BNK202600016</t>
  </si>
  <si>
    <t>Receipt from Kappa Solutions - SI2026388</t>
  </si>
  <si>
    <t>BNK202600017</t>
  </si>
  <si>
    <t>REF93661</t>
  </si>
  <si>
    <t>Insurance Premium</t>
  </si>
  <si>
    <t>Pending</t>
  </si>
  <si>
    <t>BNK202600018</t>
  </si>
  <si>
    <t>REF64190</t>
  </si>
  <si>
    <t>Payment to Office Solutions - INV2026297</t>
  </si>
  <si>
    <t>BNK202600019</t>
  </si>
  <si>
    <t>REF19542</t>
  </si>
  <si>
    <t>Payment to Smart Electronics - INV2026813</t>
  </si>
  <si>
    <t>BNK202600020</t>
  </si>
  <si>
    <t>REF39967</t>
  </si>
  <si>
    <t>Payment to Delta Components - INV2026601</t>
  </si>
  <si>
    <t>BNK202600021</t>
  </si>
  <si>
    <t>REF47010</t>
  </si>
  <si>
    <t>Payment to TechParts Co - INV2026588</t>
  </si>
  <si>
    <t>BNK202600022</t>
  </si>
  <si>
    <t>REF42653</t>
  </si>
  <si>
    <t>Payment to Premium Steel Inc - INV2026692</t>
  </si>
  <si>
    <t>BNK202600023</t>
  </si>
  <si>
    <t>REF98537</t>
  </si>
  <si>
    <t>Receipt from Tau Manufacturing - SI2026789</t>
  </si>
  <si>
    <t>BNK202600024</t>
  </si>
  <si>
    <t>REF66191</t>
  </si>
  <si>
    <t>Receipt from Sigma Tech - SI2026552</t>
  </si>
  <si>
    <t>BNK202600025</t>
  </si>
  <si>
    <t>REF54084</t>
  </si>
  <si>
    <t>Payment to Global Logistics Ltd - INV2026997</t>
  </si>
  <si>
    <t>BNK202600026</t>
  </si>
  <si>
    <t>REF70424</t>
  </si>
  <si>
    <t>Payment to Green Energy Solutions - INV2026401</t>
  </si>
  <si>
    <t>BNK202600027</t>
  </si>
  <si>
    <t>REF51023</t>
  </si>
  <si>
    <t>Receipt from Nu Engineering - SI2026412</t>
  </si>
  <si>
    <t>BNK202600028</t>
  </si>
  <si>
    <t>REF88342</t>
  </si>
  <si>
    <t>Receipt from Pi Industries - SI2026054</t>
  </si>
  <si>
    <t>BNK202600029</t>
  </si>
  <si>
    <t>REF14167</t>
  </si>
  <si>
    <t>Receipt from Eta Systems - SI2026436</t>
  </si>
  <si>
    <t>BNK202600030</t>
  </si>
  <si>
    <t>REF16174</t>
  </si>
  <si>
    <t>BNK202600031</t>
  </si>
  <si>
    <t>REF36973</t>
  </si>
  <si>
    <t>BNK202600032</t>
  </si>
  <si>
    <t>REF59734</t>
  </si>
  <si>
    <t>Payment to Allied Manufacturing - INV2026803</t>
  </si>
  <si>
    <t>BNK202600033</t>
  </si>
  <si>
    <t>REF47103</t>
  </si>
  <si>
    <t>Payment to Commercial Insurance Co - INV2026464</t>
  </si>
  <si>
    <t>BNK202600034</t>
  </si>
  <si>
    <t>REF49107</t>
  </si>
  <si>
    <t>Bank Charges</t>
  </si>
  <si>
    <t>BNK202600035</t>
  </si>
  <si>
    <t>REF23524</t>
  </si>
  <si>
    <t>Payment to Premium Steel Inc - INV2026521</t>
  </si>
  <si>
    <t>BNK202600036</t>
  </si>
  <si>
    <t>REF27694</t>
  </si>
  <si>
    <t>BNK202600037</t>
  </si>
  <si>
    <t>REF52475</t>
  </si>
  <si>
    <t>Payment to Quality Packaging - INV2026955</t>
  </si>
  <si>
    <t>BNK202600038</t>
  </si>
  <si>
    <t>REF79731</t>
  </si>
  <si>
    <t>Payment to Industrial Chemicals Ltd - INV2026361</t>
  </si>
  <si>
    <t>BNK202600039</t>
  </si>
  <si>
    <t>REF25085</t>
  </si>
  <si>
    <t>Payment to Safety Equipment Co - INV2026902</t>
  </si>
  <si>
    <t>BNK202600040</t>
  </si>
  <si>
    <t>REF32688</t>
  </si>
  <si>
    <t>Equipment Purchase</t>
  </si>
  <si>
    <t>BNK202600041</t>
  </si>
  <si>
    <t>REF10491</t>
  </si>
  <si>
    <t>Rent Paymnet</t>
  </si>
  <si>
    <t>BNK202600042</t>
  </si>
  <si>
    <t>REF98807</t>
  </si>
  <si>
    <t>Receipt from Epsilon Engineering - SI2026292</t>
  </si>
  <si>
    <t>BNK202600043</t>
  </si>
  <si>
    <t>REF43732</t>
  </si>
  <si>
    <t>Payment to Commercial Insurance Co - INV2026398</t>
  </si>
  <si>
    <t>BNK202600044</t>
  </si>
  <si>
    <t>REF31645</t>
  </si>
  <si>
    <t>Rent Payment</t>
  </si>
  <si>
    <t>BNK202600045</t>
  </si>
  <si>
    <t>REF56603</t>
  </si>
  <si>
    <t>BNK202600046</t>
  </si>
  <si>
    <t>REF58190</t>
  </si>
  <si>
    <t>Receipt from Nu Engineering - SI2026439</t>
  </si>
  <si>
    <t>BNK202600047</t>
  </si>
  <si>
    <t>REF62898</t>
  </si>
  <si>
    <t>Tax Payment</t>
  </si>
  <si>
    <t>BNK202600048</t>
  </si>
  <si>
    <t>REF44398</t>
  </si>
  <si>
    <t>Payment to Precision Tools Inc - INV2026191</t>
  </si>
  <si>
    <t>BNK202600049</t>
  </si>
  <si>
    <t>REF55143</t>
  </si>
  <si>
    <t>BNK202600050</t>
  </si>
  <si>
    <t>REF84188</t>
  </si>
  <si>
    <t>Receipt from Acme Corporation - SI2026955</t>
  </si>
  <si>
    <t>BNK202600051</t>
  </si>
  <si>
    <t>REF20897</t>
  </si>
  <si>
    <t>Receipt from Nu Engineering - SI2026592</t>
  </si>
  <si>
    <t>BNK202600052</t>
  </si>
  <si>
    <t>REF77923</t>
  </si>
  <si>
    <t>Receipt from Iota Industries - SI2026178</t>
  </si>
  <si>
    <t>BNK202600053</t>
  </si>
  <si>
    <t>REF82714</t>
  </si>
  <si>
    <t>Receipt from Eta Systems - SI2026846</t>
  </si>
  <si>
    <t>BNK202600054</t>
  </si>
  <si>
    <t>REF38734</t>
  </si>
  <si>
    <t>Receipt from Kappa Solutions - SI2026918</t>
  </si>
  <si>
    <t>BNK202600055</t>
  </si>
  <si>
    <t>REF89072</t>
  </si>
  <si>
    <t>BNK202600056</t>
  </si>
  <si>
    <t>REF13301</t>
  </si>
  <si>
    <t>Receipt from Zeta Automation - SI2026428</t>
  </si>
  <si>
    <t>BNK202600057</t>
  </si>
  <si>
    <t>REF12322</t>
  </si>
  <si>
    <t>Receipt from Beta Industries - SI2026848</t>
  </si>
  <si>
    <t>BNK202600058</t>
  </si>
  <si>
    <t>REF99895</t>
  </si>
  <si>
    <t>Receipt from Iota Industries - SI2026820</t>
  </si>
  <si>
    <t>BNK202600059</t>
  </si>
  <si>
    <t>REF76639</t>
  </si>
  <si>
    <t>Receipt from Sigma Tech - SI2026298</t>
  </si>
  <si>
    <t>BNK202600060</t>
  </si>
  <si>
    <t>REF56862</t>
  </si>
  <si>
    <t>Receipt from Epsilon Engineering - SI2026784</t>
  </si>
  <si>
    <t>BNK202600061</t>
  </si>
  <si>
    <t>REF57303</t>
  </si>
  <si>
    <t>Payment to TechParts Co - INV2026219</t>
  </si>
  <si>
    <t>BNK202600062</t>
  </si>
  <si>
    <t>REF79381</t>
  </si>
  <si>
    <t>Payment to TechParts Co - INV2026894</t>
  </si>
  <si>
    <t>BNK202600063</t>
  </si>
  <si>
    <t>REF98159</t>
  </si>
  <si>
    <t>Receipt from Lambda Tech - SI2026188</t>
  </si>
  <si>
    <t>BNK202600064</t>
  </si>
  <si>
    <t>REF50626</t>
  </si>
  <si>
    <t>BNK202600065</t>
  </si>
  <si>
    <t>REF70506</t>
  </si>
  <si>
    <t>BNK202600066</t>
  </si>
  <si>
    <t>REF20064</t>
  </si>
  <si>
    <t>BNK202600067</t>
  </si>
  <si>
    <t>REF94439</t>
  </si>
  <si>
    <t>Payment to Safety Equipment Co - INV2026170</t>
  </si>
  <si>
    <t>BNK202600068</t>
  </si>
  <si>
    <t>REF33332</t>
  </si>
  <si>
    <t>Receipt from Rho Corporation - SI2026256</t>
  </si>
  <si>
    <t>BNK202600069</t>
  </si>
  <si>
    <t>REF44611</t>
  </si>
  <si>
    <t>BNK202600070</t>
  </si>
  <si>
    <t>REF56835</t>
  </si>
  <si>
    <t>Receipt from Theta Corp - SI2026184</t>
  </si>
  <si>
    <t>BNK202600071</t>
  </si>
  <si>
    <t>REF67197</t>
  </si>
  <si>
    <t>Receipt from Pi Industries - SI2026046</t>
  </si>
  <si>
    <t>BNK202600072</t>
  </si>
  <si>
    <t>REF94840</t>
  </si>
  <si>
    <t>Payment to Smart Electronics - INV2026178</t>
  </si>
  <si>
    <t>BNK202600073</t>
  </si>
  <si>
    <t>REF60809</t>
  </si>
  <si>
    <t>BNK202600074</t>
  </si>
  <si>
    <t>REF94411</t>
  </si>
  <si>
    <t>Payment to Commercial Insurance Co - INV2026360</t>
  </si>
  <si>
    <t>BNK202600075</t>
  </si>
  <si>
    <t>REF17691</t>
  </si>
  <si>
    <t>BNK202600076</t>
  </si>
  <si>
    <t>Receipt from Omicron Systems - SI2026342</t>
  </si>
  <si>
    <t>BNK202600077</t>
  </si>
  <si>
    <t>REF30635</t>
  </si>
  <si>
    <t>Payment to FastShip Courier - INV2026545</t>
  </si>
  <si>
    <t>BNK202600078</t>
  </si>
  <si>
    <t>REF18088</t>
  </si>
  <si>
    <t>Payment to Commercial Insurance Co - INV2026354</t>
  </si>
  <si>
    <t>BNK202600079</t>
  </si>
  <si>
    <t>REF43350</t>
  </si>
  <si>
    <t>Payment to Precision Tools Inc - INV2026229</t>
  </si>
  <si>
    <t>BNK202600080</t>
  </si>
  <si>
    <t>REF69265</t>
  </si>
  <si>
    <t>Payment to Premium Steel Inc - INV2026473</t>
  </si>
  <si>
    <t>BNK202600081</t>
  </si>
  <si>
    <t>REF64771</t>
  </si>
  <si>
    <t>Payment to Quality Packaging - INV2026799</t>
  </si>
  <si>
    <t>BNK202600082</t>
  </si>
  <si>
    <t>REF80284</t>
  </si>
  <si>
    <t>BNK202600083</t>
  </si>
  <si>
    <t>REF59610</t>
  </si>
  <si>
    <t>Payment to Industrial Chemicals Ltd - INV2026757</t>
  </si>
  <si>
    <t>BNK202600084</t>
  </si>
  <si>
    <t>REF78491</t>
  </si>
  <si>
    <t>Salary Payment</t>
  </si>
  <si>
    <t>BNK202600085</t>
  </si>
  <si>
    <t>REF52798</t>
  </si>
  <si>
    <t>Receipt from Gamma Tech - SI2026524</t>
  </si>
  <si>
    <t>28/01/2026</t>
  </si>
  <si>
    <t>BNK202600086</t>
  </si>
  <si>
    <t>REF99088</t>
  </si>
  <si>
    <t>Payment to Allied Manufacturing - INV2026150</t>
  </si>
  <si>
    <t>BNK202600087</t>
  </si>
  <si>
    <t>REF14303</t>
  </si>
  <si>
    <t>Receipt from Xi Automation - SI2026103</t>
  </si>
  <si>
    <t>BNK202600088</t>
  </si>
  <si>
    <t>REF12450</t>
  </si>
  <si>
    <t>Payment to Industrial Chemicals Ltd - INV2026090</t>
  </si>
  <si>
    <t>BNK202600089</t>
  </si>
  <si>
    <t>REF95351</t>
  </si>
  <si>
    <t>Payment to Singapore Telecom - INV2026881</t>
  </si>
  <si>
    <t>BNK202600090</t>
  </si>
  <si>
    <t>REF57129</t>
  </si>
  <si>
    <t>BNK202600091</t>
  </si>
  <si>
    <t>REF23453</t>
  </si>
  <si>
    <t>BNK202600092</t>
  </si>
  <si>
    <t>REF34456</t>
  </si>
  <si>
    <t>Payment to Singapore Telecom - INV2026274</t>
  </si>
  <si>
    <t>BNK202600093</t>
  </si>
  <si>
    <t>REF94067</t>
  </si>
  <si>
    <t>BNK202600094</t>
  </si>
  <si>
    <t>REF71728</t>
  </si>
  <si>
    <t>BNK202600095</t>
  </si>
  <si>
    <t>REF87516</t>
  </si>
  <si>
    <t>Payment to Global Logistics Ltd - INV2026365</t>
  </si>
  <si>
    <t>BNK202600096</t>
  </si>
  <si>
    <t>REF75808</t>
  </si>
  <si>
    <t>Payment to Metro Services - INV2026201</t>
  </si>
  <si>
    <t>BNK202600097</t>
  </si>
  <si>
    <t>REF28545</t>
  </si>
  <si>
    <t>Receipt from Gamma Tech - SI2026531</t>
  </si>
  <si>
    <t>BNK202600098</t>
  </si>
  <si>
    <t>REF26591</t>
  </si>
  <si>
    <t>Receipt from Xi Automation - SI2026631</t>
  </si>
  <si>
    <t>BNK202600099</t>
  </si>
  <si>
    <t>REF95240</t>
  </si>
  <si>
    <t>Receipt from Upsilon Engineering - SI2026189</t>
  </si>
  <si>
    <t>BNK202600100</t>
  </si>
  <si>
    <t>REF22348</t>
  </si>
  <si>
    <t>Payment to Singapore Telecom - INV2026601</t>
  </si>
  <si>
    <t>BNK202600101</t>
  </si>
  <si>
    <t>REF50959</t>
  </si>
  <si>
    <t>Reciept from Gamma Tech - SI2026467</t>
  </si>
  <si>
    <t>BNK202600102</t>
  </si>
  <si>
    <t>REF46352</t>
  </si>
  <si>
    <t>Payment to Premium Steel Inc - INV2026717</t>
  </si>
  <si>
    <t>BNK202600103</t>
  </si>
  <si>
    <t>REF10991</t>
  </si>
  <si>
    <t>Receipt from Mu Manufacturing - SI2026130</t>
  </si>
  <si>
    <t>BNK202600104</t>
  </si>
  <si>
    <t>REF84423</t>
  </si>
  <si>
    <t>Payment to Office Solutions - INV2026872</t>
  </si>
  <si>
    <t>BNK202600105</t>
  </si>
  <si>
    <t>REF69275</t>
  </si>
  <si>
    <t>Receipt from Upsilon Engineering - SI2026786</t>
  </si>
  <si>
    <t>BNK202600106</t>
  </si>
  <si>
    <t>REF45327</t>
  </si>
  <si>
    <t>Receipt from Nu Engineering - SI2026805</t>
  </si>
  <si>
    <t>BNK202600107</t>
  </si>
  <si>
    <t>REF86168</t>
  </si>
  <si>
    <t>Receipt from Iota Industries - SI2026647</t>
  </si>
  <si>
    <t>BNK202600108</t>
  </si>
  <si>
    <t>REF30990</t>
  </si>
  <si>
    <t>BNK202600109</t>
  </si>
  <si>
    <t>REF21974</t>
  </si>
  <si>
    <t>Payment to Safety Equipment Co - INV2026279</t>
  </si>
  <si>
    <t>BNK202600110</t>
  </si>
  <si>
    <t>REF26217</t>
  </si>
  <si>
    <t>Payment to Commercial Insurance Co - INV2026182</t>
  </si>
  <si>
    <t>BNK202600111</t>
  </si>
  <si>
    <t>REF45666</t>
  </si>
  <si>
    <t>Receipt from Kappa Solutions - SI2026048</t>
  </si>
  <si>
    <t>BNK202600112</t>
  </si>
  <si>
    <t>REF67634</t>
  </si>
  <si>
    <t>Payment to Utility Power Corp - INV2026586</t>
  </si>
  <si>
    <t>BNK202600113</t>
  </si>
  <si>
    <t>REF69724</t>
  </si>
  <si>
    <t>BNK202600114</t>
  </si>
  <si>
    <t>REF35325</t>
  </si>
  <si>
    <t>Payment to Pacific Trading - INV2026208</t>
  </si>
  <si>
    <t>BNK202600115</t>
  </si>
  <si>
    <t>REF33967</t>
  </si>
  <si>
    <t>Receipt from Iota Industries - SI2026652</t>
  </si>
  <si>
    <t>BNK202600116</t>
  </si>
  <si>
    <t>REF34451</t>
  </si>
  <si>
    <t>BNK202600117</t>
  </si>
  <si>
    <t>REF24998</t>
  </si>
  <si>
    <t>BNK202600118</t>
  </si>
  <si>
    <t>REF83081</t>
  </si>
  <si>
    <t>Payment to Express Delivery - INV2026731</t>
  </si>
  <si>
    <t>BNK202600119</t>
  </si>
  <si>
    <t>REF23833</t>
  </si>
  <si>
    <t>BNK202600120</t>
  </si>
  <si>
    <t>REF23124</t>
  </si>
  <si>
    <t>BNK202600121</t>
  </si>
  <si>
    <t>REF78379</t>
  </si>
  <si>
    <t>Receipt from Rho Corporation - SI2026449</t>
  </si>
  <si>
    <t>BNK202600122</t>
  </si>
  <si>
    <t>REF64133</t>
  </si>
  <si>
    <t>Receipt from Nu Engineering - SI2026889</t>
  </si>
  <si>
    <t>BNK202600123</t>
  </si>
  <si>
    <t>REF45604</t>
  </si>
  <si>
    <t>Receipt from Iota Industries - SI2026418</t>
  </si>
  <si>
    <t>BNK202600124</t>
  </si>
  <si>
    <t>REF20693</t>
  </si>
  <si>
    <t>BNK202600125</t>
  </si>
  <si>
    <t>REF50133</t>
  </si>
  <si>
    <t>Payment to Express Delivery - INV2026420</t>
  </si>
  <si>
    <t>BNK202600126</t>
  </si>
  <si>
    <t>REF45022</t>
  </si>
  <si>
    <t>Receipt from Delta Manufacturing - SI2026481</t>
  </si>
  <si>
    <t>BNK202600127</t>
  </si>
  <si>
    <t>REF32087</t>
  </si>
  <si>
    <t>Payment to Utility Power Corp - INV2026803</t>
  </si>
  <si>
    <t>BNK202600128</t>
  </si>
  <si>
    <t>REF41220</t>
  </si>
  <si>
    <t>Receipt from Lambda Tech - SI2026065</t>
  </si>
  <si>
    <t>BNK202600129</t>
  </si>
  <si>
    <t>REF26272</t>
  </si>
  <si>
    <t>BNK202600130</t>
  </si>
  <si>
    <t>REF11688</t>
  </si>
  <si>
    <t>Payment to Industrial Chemicals Ltd - INV2026762</t>
  </si>
  <si>
    <t>BNK202600131</t>
  </si>
  <si>
    <t>REF97275</t>
  </si>
  <si>
    <t>BNK202600132</t>
  </si>
  <si>
    <t>REF76005</t>
  </si>
  <si>
    <t>Receipt from Nu Engineering - SI2026580</t>
  </si>
  <si>
    <t>BNK202600133</t>
  </si>
  <si>
    <t>REF86022</t>
  </si>
  <si>
    <t>Payment to Pacific Trading - INV2026362</t>
  </si>
  <si>
    <t>BNK202600134</t>
  </si>
  <si>
    <t>REF12838</t>
  </si>
  <si>
    <t>Receipt from Nu Engineering - SI2026467</t>
  </si>
  <si>
    <t>BNK202600135</t>
  </si>
  <si>
    <t>REF98597</t>
  </si>
  <si>
    <t>BNK202600136</t>
  </si>
  <si>
    <t>Receipt from Xi Automation - SI2026443</t>
  </si>
  <si>
    <t>BNK202600137</t>
  </si>
  <si>
    <t>REF50096</t>
  </si>
  <si>
    <t>BNK202600138</t>
  </si>
  <si>
    <t>REF10281</t>
  </si>
  <si>
    <t>Receipt from Iota Industries - SI2026046</t>
  </si>
  <si>
    <t>BNK202600139</t>
  </si>
  <si>
    <t>REF73480</t>
  </si>
  <si>
    <t>Payment to Apex Industrial Supply - INV2026923</t>
  </si>
  <si>
    <t>BNK202600140</t>
  </si>
  <si>
    <t>REF12839</t>
  </si>
  <si>
    <t>Receipt from Pi Industries - SI2026309</t>
  </si>
  <si>
    <t>BNK202600141</t>
  </si>
  <si>
    <t>REF88888</t>
  </si>
  <si>
    <t>Payment to Metro Services - INV2026776</t>
  </si>
  <si>
    <t>BNK202600142</t>
  </si>
  <si>
    <t>REF28612</t>
  </si>
  <si>
    <t>BNK202600143</t>
  </si>
  <si>
    <t>REF82829</t>
  </si>
  <si>
    <t>BNK202600144</t>
  </si>
  <si>
    <t>REF21293</t>
  </si>
  <si>
    <t>Receipt from Eta Systems - SI2026753</t>
  </si>
  <si>
    <t>BNK202600145</t>
  </si>
  <si>
    <t>REF72215</t>
  </si>
  <si>
    <t>Payment to Delta Components - INV2026042</t>
  </si>
  <si>
    <t>14/02/2026</t>
  </si>
  <si>
    <t>BNK202600146</t>
  </si>
  <si>
    <t>REF14367</t>
  </si>
  <si>
    <t>BNK202600147</t>
  </si>
  <si>
    <t>REF24387</t>
  </si>
  <si>
    <t>BNK202600148</t>
  </si>
  <si>
    <t>REF14273</t>
  </si>
  <si>
    <t>Payment to TechParts Co - INV2026420</t>
  </si>
  <si>
    <t>BNK202600149</t>
  </si>
  <si>
    <t>REF75798</t>
  </si>
  <si>
    <t>BNK202600150</t>
  </si>
  <si>
    <t>REF86621</t>
  </si>
  <si>
    <t>Receipt from Acme Corporation - SI2026393</t>
  </si>
  <si>
    <t>BNK202600151</t>
  </si>
  <si>
    <t>REF17123</t>
  </si>
  <si>
    <t>BNK202600152</t>
  </si>
  <si>
    <t>REF55715</t>
  </si>
  <si>
    <t>BNK202600153</t>
  </si>
  <si>
    <t>REF29368</t>
  </si>
  <si>
    <t>Payment to Precision Tools Inc - INV2026389</t>
  </si>
  <si>
    <t>BNK202600154</t>
  </si>
  <si>
    <t>REF93345</t>
  </si>
  <si>
    <t>Payment to TechParts Co - INV2026864</t>
  </si>
  <si>
    <t>BNK202600155</t>
  </si>
  <si>
    <t>REF43077</t>
  </si>
  <si>
    <t>BNK202600156</t>
  </si>
  <si>
    <t>REF31702</t>
  </si>
  <si>
    <t>Payment to Utility Power Corp - INV2026357</t>
  </si>
  <si>
    <t>BNK202600157</t>
  </si>
  <si>
    <t>REF58828</t>
  </si>
  <si>
    <t>Receipt from Omicron Systems - SI2026417</t>
  </si>
  <si>
    <t>BNK202600158</t>
  </si>
  <si>
    <t>REF34214</t>
  </si>
  <si>
    <t>Receipt from Beta Industries - SI2026448</t>
  </si>
  <si>
    <t>BNK202600159</t>
  </si>
  <si>
    <t>REF16837</t>
  </si>
  <si>
    <t>Receipt from Xi Automation - SI2026122</t>
  </si>
  <si>
    <t>BNK202600160</t>
  </si>
  <si>
    <t>REF36579</t>
  </si>
  <si>
    <t>Receipt from Epsilon Engineering - SI2026640</t>
  </si>
  <si>
    <t>BNK202600161</t>
  </si>
  <si>
    <t>REF28492</t>
  </si>
  <si>
    <t>Reciept from Sigma Tech - SI2026199</t>
  </si>
  <si>
    <t>BNK202600162</t>
  </si>
  <si>
    <t>REF62068</t>
  </si>
  <si>
    <t>Payment to Quality Packaging - INV2026109</t>
  </si>
  <si>
    <t>BNK202600163</t>
  </si>
  <si>
    <t>REF19427</t>
  </si>
  <si>
    <t>BNK202600164</t>
  </si>
  <si>
    <t>REF20174</t>
  </si>
  <si>
    <t>BNK202600165</t>
  </si>
  <si>
    <t>REF78191</t>
  </si>
  <si>
    <t>Receipt from Rho Corporation - SI2026010</t>
  </si>
  <si>
    <t>BNK202600166</t>
  </si>
  <si>
    <t>REF95041</t>
  </si>
  <si>
    <t>Receipt from Gamma Tech - SI2026788</t>
  </si>
  <si>
    <t>BNK202600167</t>
  </si>
  <si>
    <t>REF77102</t>
  </si>
  <si>
    <t>Receipt from Upsilon Engineering - SI2026507</t>
  </si>
  <si>
    <t>BNK202600168</t>
  </si>
  <si>
    <t>REF35338</t>
  </si>
  <si>
    <t>BNK202600169</t>
  </si>
  <si>
    <t>REF42466</t>
  </si>
  <si>
    <t>Receipt from Beta Industries - SI2026080</t>
  </si>
  <si>
    <t>BNK202600170</t>
  </si>
  <si>
    <t>REF68105</t>
  </si>
  <si>
    <t>Receipt from Epsilon Engineering - SI2026123</t>
  </si>
  <si>
    <t>BNK202600171</t>
  </si>
  <si>
    <t>REF17075</t>
  </si>
  <si>
    <t>BNK202600172</t>
  </si>
  <si>
    <t>REF83313</t>
  </si>
  <si>
    <t>Payment to Premium Steel Inc - INV2026720</t>
  </si>
  <si>
    <t>BNK202600173</t>
  </si>
  <si>
    <t>REF72328</t>
  </si>
  <si>
    <t>Payment to Precision Tools Inc - INV2026696</t>
  </si>
  <si>
    <t>BNK202600174</t>
  </si>
  <si>
    <t>REF45223</t>
  </si>
  <si>
    <t>BNK202600175</t>
  </si>
  <si>
    <t>REF40364</t>
  </si>
  <si>
    <t>Receipt from Sigma Tech - SI2026106</t>
  </si>
  <si>
    <t>BNK202600176</t>
  </si>
  <si>
    <t>REF46598</t>
  </si>
  <si>
    <t>Payment to Green Energy Solutions - INV2026966</t>
  </si>
  <si>
    <t>BNK202600177</t>
  </si>
  <si>
    <t>REF10032</t>
  </si>
  <si>
    <t>Payment to TechParts Co - INV2026459</t>
  </si>
  <si>
    <t>BNK202600178</t>
  </si>
  <si>
    <t>REF36626</t>
  </si>
  <si>
    <t>BNK202600179</t>
  </si>
  <si>
    <t>REF87870</t>
  </si>
  <si>
    <t>BNK202600180</t>
  </si>
  <si>
    <t>REF55418</t>
  </si>
  <si>
    <t>BNK202600181</t>
  </si>
  <si>
    <t>REF71166</t>
  </si>
  <si>
    <t>Payment to Global Logistics Ltd - INV2026893</t>
  </si>
  <si>
    <t>BNK202600182</t>
  </si>
  <si>
    <t>REF61944</t>
  </si>
  <si>
    <t>Receipt from Tau Manufacturing - SI2026153</t>
  </si>
  <si>
    <t>BNK202600183</t>
  </si>
  <si>
    <t>REF94391</t>
  </si>
  <si>
    <t>BNK202600184</t>
  </si>
  <si>
    <t>REF22897</t>
  </si>
  <si>
    <t>Receipt from Omicron Systems - SI2026531</t>
  </si>
  <si>
    <t>BNK202600185</t>
  </si>
  <si>
    <t>REF64058</t>
  </si>
  <si>
    <t>Payment to Quality Packaging - INV2026865</t>
  </si>
  <si>
    <t>BNK202600186</t>
  </si>
  <si>
    <t>REF13887</t>
  </si>
  <si>
    <t>BNK202600187</t>
  </si>
  <si>
    <t>REF14872</t>
  </si>
  <si>
    <t>Receipt from Rho Corporation - SI2026992</t>
  </si>
  <si>
    <t>BNK202600188</t>
  </si>
  <si>
    <t>REF51906</t>
  </si>
  <si>
    <t>Receipt from Beta Industries - SI2026393</t>
  </si>
  <si>
    <t>BNK202600189</t>
  </si>
  <si>
    <t>REF47143</t>
  </si>
  <si>
    <t>Payment to TechParts Co - INV2026579</t>
  </si>
  <si>
    <t>BNK202600190</t>
  </si>
  <si>
    <t>REF66423</t>
  </si>
  <si>
    <t>Receipt from Eta Systems - SI2026277</t>
  </si>
  <si>
    <t>BNK202600191</t>
  </si>
  <si>
    <t>REF51057</t>
  </si>
  <si>
    <t>Payment to Industrial Chemicals Ltd - INV2026942</t>
  </si>
  <si>
    <t>BNK202600192</t>
  </si>
  <si>
    <t>REF35931</t>
  </si>
  <si>
    <t>Receipt from Omicron Systems - SI2026541</t>
  </si>
  <si>
    <t>BNK202600193</t>
  </si>
  <si>
    <t>REF15778</t>
  </si>
  <si>
    <t>Receipt from Upsilon Engineering - SI2026336</t>
  </si>
  <si>
    <t>BNK202600194</t>
  </si>
  <si>
    <t>REF96058</t>
  </si>
  <si>
    <t>Payment to Quality Packaging - INV2026397</t>
  </si>
  <si>
    <t>BNK202600195</t>
  </si>
  <si>
    <t>REF19060</t>
  </si>
  <si>
    <t>Receipt from Zeta Automation - SI2026469</t>
  </si>
  <si>
    <t>BNK202600196</t>
  </si>
  <si>
    <t>BNK202600197</t>
  </si>
  <si>
    <t>REF31625</t>
  </si>
  <si>
    <t>BNK202600198</t>
  </si>
  <si>
    <t>REF47918</t>
  </si>
  <si>
    <t>Receipt from Delta Manufacturing - SI2026767</t>
  </si>
  <si>
    <t>BNK202600199</t>
  </si>
  <si>
    <t>REF76626</t>
  </si>
  <si>
    <t>BNK202600200</t>
  </si>
  <si>
    <t>REF67457</t>
  </si>
  <si>
    <t>Receipt from Lambda Tech - SI2026173</t>
  </si>
  <si>
    <t>BNK202600201</t>
  </si>
  <si>
    <t>REF11680</t>
  </si>
  <si>
    <t>Receipt from Xi Automation - SI2026857</t>
  </si>
  <si>
    <t>BNK202600202</t>
  </si>
  <si>
    <t>REF10432</t>
  </si>
  <si>
    <t>Payment to Office Solutions - INV2026025</t>
  </si>
  <si>
    <t>BNK202600203</t>
  </si>
  <si>
    <t>REF71057</t>
  </si>
  <si>
    <t>Receipt from Gamma Tech - SI2026391</t>
  </si>
  <si>
    <t>BNK202600204</t>
  </si>
  <si>
    <t>REF58279</t>
  </si>
  <si>
    <t>Payment to Express Delivery - INV2026667</t>
  </si>
  <si>
    <t>BNK202600205</t>
  </si>
  <si>
    <t>REF40879</t>
  </si>
  <si>
    <t>Receipt from Lambda Tech - SI2026350</t>
  </si>
  <si>
    <t>27/02/2026</t>
  </si>
  <si>
    <t>BNK202600206</t>
  </si>
  <si>
    <t>REF71073</t>
  </si>
  <si>
    <t>BNK202600207</t>
  </si>
  <si>
    <t>REF18169</t>
  </si>
  <si>
    <t>BNK202600208</t>
  </si>
  <si>
    <t>REF17884</t>
  </si>
  <si>
    <t>Receipt from Upsilon Engineering - SI2026802</t>
  </si>
  <si>
    <t>BNK202600209</t>
  </si>
  <si>
    <t>REF65842</t>
  </si>
  <si>
    <t>Payment to TechParts Co - INV2026824</t>
  </si>
  <si>
    <t>BNK202600210</t>
  </si>
  <si>
    <t>REF41230</t>
  </si>
  <si>
    <t>Payment to TechParts Co - INV2026428</t>
  </si>
  <si>
    <t>BNK202600211</t>
  </si>
  <si>
    <t>REF18409</t>
  </si>
  <si>
    <t>Payment to Express Delivery - INV2026178</t>
  </si>
  <si>
    <t>BNK202600212</t>
  </si>
  <si>
    <t>REF43584</t>
  </si>
  <si>
    <t>Payment to Singapore Telecom - INV2026643</t>
  </si>
  <si>
    <t>BNK202600213</t>
  </si>
  <si>
    <t>REF28135</t>
  </si>
  <si>
    <t>Payment to Premium Steel Inc - INV2026553</t>
  </si>
  <si>
    <t>BNK202600214</t>
  </si>
  <si>
    <t>REF77994</t>
  </si>
  <si>
    <t>Receipt from Upsilon Engineering - SI2026186</t>
  </si>
  <si>
    <t>BNK202600215</t>
  </si>
  <si>
    <t>REF32275</t>
  </si>
  <si>
    <t>Receipt from Eta Systems - SI2026392</t>
  </si>
  <si>
    <t>BNK202600216</t>
  </si>
  <si>
    <t>REF53408</t>
  </si>
  <si>
    <t>Receipt from Beta Industries - SI2026796</t>
  </si>
  <si>
    <t>BNK202600217</t>
  </si>
  <si>
    <t>REF20562</t>
  </si>
  <si>
    <t>BNK202600218</t>
  </si>
  <si>
    <t>REF19967</t>
  </si>
  <si>
    <t>Payment to Smart Electronics - INV2026054</t>
  </si>
  <si>
    <t>BNK202600219</t>
  </si>
  <si>
    <t>REF28403</t>
  </si>
  <si>
    <t>BNK202600220</t>
  </si>
  <si>
    <t>REF65878</t>
  </si>
  <si>
    <t>Payment to Office Solutions - INV2026544</t>
  </si>
  <si>
    <t>BNK202600221</t>
  </si>
  <si>
    <t>REF88942</t>
  </si>
  <si>
    <t>Paymnet to Singapore Telecom - INV2026175</t>
  </si>
  <si>
    <t>BNK202600222</t>
  </si>
  <si>
    <t>REF30463</t>
  </si>
  <si>
    <t>Receipt from Iota Industries - SI2026078</t>
  </si>
  <si>
    <t>BNK202600223</t>
  </si>
  <si>
    <t>REF99893</t>
  </si>
  <si>
    <t>BNK202600224</t>
  </si>
  <si>
    <t>REF30109</t>
  </si>
  <si>
    <t>Receipt from Zeta Automation - SI2026484</t>
  </si>
  <si>
    <t>BNK202600225</t>
  </si>
  <si>
    <t>REF39637</t>
  </si>
  <si>
    <t>Receipt from Xi Automation - SI2026243</t>
  </si>
  <si>
    <t>BNK202600226</t>
  </si>
  <si>
    <t>REF12422</t>
  </si>
  <si>
    <t>Receipt from Delta Manufacturing - SI2026380</t>
  </si>
  <si>
    <t>BNK202600227</t>
  </si>
  <si>
    <t>REF63386</t>
  </si>
  <si>
    <t>Payment to Office Solutions - INV2026394</t>
  </si>
  <si>
    <t>BNK202600228</t>
  </si>
  <si>
    <t>REF47665</t>
  </si>
  <si>
    <t>Payment to Green Energy Solutions - INV2026297</t>
  </si>
  <si>
    <t>BNK202600229</t>
  </si>
  <si>
    <t>REF34420</t>
  </si>
  <si>
    <t>Receipt from Lambda Tech - SI2026121</t>
  </si>
  <si>
    <t>BNK202600230</t>
  </si>
  <si>
    <t>REF93243</t>
  </si>
  <si>
    <t>Receipt from Mu Manufacturing - SI2026043</t>
  </si>
  <si>
    <t>BNK202600231</t>
  </si>
  <si>
    <t>REF95225</t>
  </si>
  <si>
    <t>BNK202600232</t>
  </si>
  <si>
    <t>REF98657</t>
  </si>
  <si>
    <t>Payment to Singapore Telecom - INV2026536</t>
  </si>
  <si>
    <t>BNK202600233</t>
  </si>
  <si>
    <t>REF33345</t>
  </si>
  <si>
    <t>Payment to Safety Equipment Co - INV2026693</t>
  </si>
  <si>
    <t>BNK202600234</t>
  </si>
  <si>
    <t>REF94135</t>
  </si>
  <si>
    <t>Receipt from Acme Corporation - SI2026676</t>
  </si>
  <si>
    <t>BNK202600235</t>
  </si>
  <si>
    <t>REF15905</t>
  </si>
  <si>
    <t>Payment to Green Energy Solutions - INV2026432</t>
  </si>
  <si>
    <t>BNK202600236</t>
  </si>
  <si>
    <t>REF50673</t>
  </si>
  <si>
    <t>Receipt from Delta Manufacturing - SI2026520</t>
  </si>
  <si>
    <t>BNK202600237</t>
  </si>
  <si>
    <t>REF82629</t>
  </si>
  <si>
    <t>BNK202600238</t>
  </si>
  <si>
    <t>REF67331</t>
  </si>
  <si>
    <t>BNK202600239</t>
  </si>
  <si>
    <t>REF56780</t>
  </si>
  <si>
    <t>BNK202600240</t>
  </si>
  <si>
    <t>REF60410</t>
  </si>
  <si>
    <t>Receipt from Rho Corporation - SI2026114</t>
  </si>
  <si>
    <t>BNK202600241</t>
  </si>
  <si>
    <t>REF56099</t>
  </si>
  <si>
    <t>BNK202600242</t>
  </si>
  <si>
    <t>REF61323</t>
  </si>
  <si>
    <t>Payment to Global Logistics Ltd - INV2026181</t>
  </si>
  <si>
    <t>BNK202600243</t>
  </si>
  <si>
    <t>REF15596</t>
  </si>
  <si>
    <t>Receipt from Zeta Automation - SI2026963</t>
  </si>
  <si>
    <t>BNK202600244</t>
  </si>
  <si>
    <t>REF97528</t>
  </si>
  <si>
    <t>Receipt from Nu Engineering - SI2026575</t>
  </si>
  <si>
    <t>BNK202600245</t>
  </si>
  <si>
    <t>REF55069</t>
  </si>
  <si>
    <t>Receipt from Acme Corporation - SI2026105</t>
  </si>
  <si>
    <t>BNK202600246</t>
  </si>
  <si>
    <t>REF39515</t>
  </si>
  <si>
    <t>BNK202600247</t>
  </si>
  <si>
    <t>REF22815</t>
  </si>
  <si>
    <t>Payment to Metro Services - INV2026517</t>
  </si>
  <si>
    <t>BNK202600248</t>
  </si>
  <si>
    <t>REF96192</t>
  </si>
  <si>
    <t>Receipt from Beta Industries - SI2026187</t>
  </si>
  <si>
    <t>BNK202600249</t>
  </si>
  <si>
    <t>REF43174</t>
  </si>
  <si>
    <t>Payment to Utility Power Corp - INV2026142</t>
  </si>
  <si>
    <t>BNK202600250</t>
  </si>
  <si>
    <t>REF23320</t>
  </si>
  <si>
    <t>BNK202600251</t>
  </si>
  <si>
    <t>REF86302</t>
  </si>
  <si>
    <t>Payment to Global Logistics Ltd - INV2026451</t>
  </si>
  <si>
    <t>BNK202600252</t>
  </si>
  <si>
    <t>REF21391</t>
  </si>
  <si>
    <t>Payment to Smart Electronics - INV2026553</t>
  </si>
  <si>
    <t>BNK202600253</t>
  </si>
  <si>
    <t>REF58995</t>
  </si>
  <si>
    <t>Receipt from Tau Manufacturing - SI2026503</t>
  </si>
  <si>
    <t>BNK202600254</t>
  </si>
  <si>
    <t>REF50055</t>
  </si>
  <si>
    <t>Payment to Office Solutions - INV2026517</t>
  </si>
  <si>
    <t>BNK202600255</t>
  </si>
  <si>
    <t>REF52561</t>
  </si>
  <si>
    <t>Receipt from Tau Manufacturing - SI2026742</t>
  </si>
  <si>
    <t>BNK202600256</t>
  </si>
  <si>
    <t>Payment to Office Solutions - INV2026124</t>
  </si>
  <si>
    <t>BNK202600257</t>
  </si>
  <si>
    <t>REF96969</t>
  </si>
  <si>
    <t>Payment to Green Energy Solutions - INV2026528</t>
  </si>
  <si>
    <t>BNK202600258</t>
  </si>
  <si>
    <t>REF68953</t>
  </si>
  <si>
    <t>Receipt from Iota Industries - SI2026811</t>
  </si>
  <si>
    <t>BNK202600259</t>
  </si>
  <si>
    <t>REF40243</t>
  </si>
  <si>
    <t>BNK202600260</t>
  </si>
  <si>
    <t>REF24495</t>
  </si>
  <si>
    <t>BNK202600261</t>
  </si>
  <si>
    <t>REF97109</t>
  </si>
  <si>
    <t>BNK202600262</t>
  </si>
  <si>
    <t>REF74912</t>
  </si>
  <si>
    <t>Receipt from Gamma Tech - SI2026426</t>
  </si>
  <si>
    <t>BNK202600263</t>
  </si>
  <si>
    <t>REF80460</t>
  </si>
  <si>
    <t>Receipt from Eta Systems - SI2026842</t>
  </si>
  <si>
    <t>BNK202600264</t>
  </si>
  <si>
    <t>REF86701</t>
  </si>
  <si>
    <t>Receipt from Omicron Systems - SI2026486</t>
  </si>
  <si>
    <t>BNK202600265</t>
  </si>
  <si>
    <t>REF30446</t>
  </si>
  <si>
    <t>Payment to Apex Industrial Supply - INV2026336</t>
  </si>
  <si>
    <t>18/03/2026</t>
  </si>
  <si>
    <t>BNK202600266</t>
  </si>
  <si>
    <t>REF14939</t>
  </si>
  <si>
    <t>Receipt from Kappa Solutions - SI2026467</t>
  </si>
  <si>
    <t>BNK202600267</t>
  </si>
  <si>
    <t>REF69202</t>
  </si>
  <si>
    <t>BNK202600268</t>
  </si>
  <si>
    <t>REF44569</t>
  </si>
  <si>
    <t>Receipt from Theta Corp - SI2026346</t>
  </si>
  <si>
    <t>BNK202600269</t>
  </si>
  <si>
    <t>REF93815</t>
  </si>
  <si>
    <t>Payment to Pacific Trading - INV2026633</t>
  </si>
  <si>
    <t>BNK202600270</t>
  </si>
  <si>
    <t>REF36308</t>
  </si>
  <si>
    <t>Receipt from Epsilon Engineering - SI2026546</t>
  </si>
  <si>
    <t>BNK202600271</t>
  </si>
  <si>
    <t>REF53966</t>
  </si>
  <si>
    <t>BNK202600272</t>
  </si>
  <si>
    <t>REF64813</t>
  </si>
  <si>
    <t>Payment to Safety Equipment Co - INV2026639</t>
  </si>
  <si>
    <t>BNK202600273</t>
  </si>
  <si>
    <t>REF39583</t>
  </si>
  <si>
    <t>Receipt from Beta Industries - SI2026503</t>
  </si>
  <si>
    <t>BNK202600274</t>
  </si>
  <si>
    <t>REF57321</t>
  </si>
  <si>
    <t>BNK202600275</t>
  </si>
  <si>
    <t>REF70028</t>
  </si>
  <si>
    <t>Receipt from Tau Manufacturing - SI2026086</t>
  </si>
  <si>
    <t>BNK202600276</t>
  </si>
  <si>
    <t>REF56628</t>
  </si>
  <si>
    <t>Payment to Utility Power Corp - INV2026568</t>
  </si>
  <si>
    <t>BNK202600277</t>
  </si>
  <si>
    <t>REF14728</t>
  </si>
  <si>
    <t>BNK202600278</t>
  </si>
  <si>
    <t>REF41120</t>
  </si>
  <si>
    <t>Payment to Smart Electronics - INV2026035</t>
  </si>
  <si>
    <t>BNK202600279</t>
  </si>
  <si>
    <t>REF62001</t>
  </si>
  <si>
    <t>BNK202600280</t>
  </si>
  <si>
    <t>REF48479</t>
  </si>
  <si>
    <t>Receipt from Tau Manufacturing - SI2026113</t>
  </si>
  <si>
    <t>BNK202600281</t>
  </si>
  <si>
    <t>REF44242</t>
  </si>
  <si>
    <t>Interest Paymnet</t>
  </si>
  <si>
    <t>BNK202600282</t>
  </si>
  <si>
    <t>REF45673</t>
  </si>
  <si>
    <t>Payment to Metro Services - INV2026236</t>
  </si>
  <si>
    <t>BNK202600283</t>
  </si>
  <si>
    <t>REF14011</t>
  </si>
  <si>
    <t>BNK202600284</t>
  </si>
  <si>
    <t>REF76157</t>
  </si>
  <si>
    <t>Receipt from Theta Corp - SI2026957</t>
  </si>
  <si>
    <t>BNK202600285</t>
  </si>
  <si>
    <t>REF42392</t>
  </si>
  <si>
    <t>BNK202600286</t>
  </si>
  <si>
    <t>REF50636</t>
  </si>
  <si>
    <t>Receipt from Xi Automation - SI2026845</t>
  </si>
  <si>
    <t>BNK202600287</t>
  </si>
  <si>
    <t>REF87938</t>
  </si>
  <si>
    <t>BNK202600288</t>
  </si>
  <si>
    <t>REF54748</t>
  </si>
  <si>
    <t>Payment to Premium Steel Inc - INV2026225</t>
  </si>
  <si>
    <t>BNK202600289</t>
  </si>
  <si>
    <t>REF72943</t>
  </si>
  <si>
    <t>BNK202600290</t>
  </si>
  <si>
    <t>REF59451</t>
  </si>
  <si>
    <t>Receipt from Sigma Tech - SI2026923</t>
  </si>
  <si>
    <t>BNK202600291</t>
  </si>
  <si>
    <t>REF62115</t>
  </si>
  <si>
    <t>BNK202600292</t>
  </si>
  <si>
    <t>REF98811</t>
  </si>
  <si>
    <t>Receipt from Xi Automation - SI2026640</t>
  </si>
  <si>
    <t>BNK202600293</t>
  </si>
  <si>
    <t>REF44073</t>
  </si>
  <si>
    <t>Payment to Safety Equipment Co - INV2026623</t>
  </si>
  <si>
    <t>BNK202600294</t>
  </si>
  <si>
    <t>REF24401</t>
  </si>
  <si>
    <t>BNK202600295</t>
  </si>
  <si>
    <t>REF33394</t>
  </si>
  <si>
    <t>Payment to Industrial Chemicals Ltd - INV2026568</t>
  </si>
  <si>
    <t>BNK202600296</t>
  </si>
  <si>
    <t>REF60004</t>
  </si>
  <si>
    <t>Receipt from Gamma Tech - SI2026927</t>
  </si>
  <si>
    <t>BNK202600297</t>
  </si>
  <si>
    <t>REF78601</t>
  </si>
  <si>
    <t>BNK202600298</t>
  </si>
  <si>
    <t>REF90101</t>
  </si>
  <si>
    <t>Payment to Smart Electronics - INV2026380</t>
  </si>
  <si>
    <t>BNK202600299</t>
  </si>
  <si>
    <t>REF32846</t>
  </si>
  <si>
    <t>Receipt from Theta Corp - SI2026473</t>
  </si>
  <si>
    <t>BNK202600300</t>
  </si>
  <si>
    <t>REF73255</t>
  </si>
  <si>
    <t>Receipt from Acme Corporation - SI2026515</t>
  </si>
  <si>
    <t>BNK202600301</t>
  </si>
  <si>
    <t>REF93047</t>
  </si>
  <si>
    <t>Payment to Smart Electronics - INV2026371</t>
  </si>
  <si>
    <t>BNK202600302</t>
  </si>
  <si>
    <t>REF76633</t>
  </si>
  <si>
    <t>BNK202600303</t>
  </si>
  <si>
    <t>REF96923</t>
  </si>
  <si>
    <t>Receipt from Iota Industries - SI2026814</t>
  </si>
  <si>
    <t>BNK202600304</t>
  </si>
  <si>
    <t>REF83552</t>
  </si>
  <si>
    <t>Receipt from Kappa Solutions - SI2026604</t>
  </si>
  <si>
    <t>BNK202600305</t>
  </si>
  <si>
    <t>REF83575</t>
  </si>
  <si>
    <t>Receipt from Rho Corporation - SI2026472</t>
  </si>
  <si>
    <t>BNK202600306</t>
  </si>
  <si>
    <t>REF25253</t>
  </si>
  <si>
    <t>Receipt from Lambda Tech - SI2026843</t>
  </si>
  <si>
    <t>BNK202600307</t>
  </si>
  <si>
    <t>REF14558</t>
  </si>
  <si>
    <t>BNK202600308</t>
  </si>
  <si>
    <t>REF39665</t>
  </si>
  <si>
    <t>Receipt from Tau Manufacturing - SI2026871</t>
  </si>
  <si>
    <t>BNK202600309</t>
  </si>
  <si>
    <t>REF19510</t>
  </si>
  <si>
    <t>BNK202600310</t>
  </si>
  <si>
    <t>REF55941</t>
  </si>
  <si>
    <t>Payment to Pacific Trading - INV2026609</t>
  </si>
  <si>
    <t>BNK202600311</t>
  </si>
  <si>
    <t>REF77710</t>
  </si>
  <si>
    <t>Receipt from Rho Corporation - SI2026243</t>
  </si>
  <si>
    <t>BNK202600312</t>
  </si>
  <si>
    <t>REF27257</t>
  </si>
  <si>
    <t>Receipt from Upsilon Engineering - SI2026137</t>
  </si>
  <si>
    <t>BNK202600313</t>
  </si>
  <si>
    <t>REF41177</t>
  </si>
  <si>
    <t>BNK202600314</t>
  </si>
  <si>
    <t>REF46255</t>
  </si>
  <si>
    <t>Payment to Office Solutions - INV2026168</t>
  </si>
  <si>
    <t>BNK202600315</t>
  </si>
  <si>
    <t>REF34918</t>
  </si>
  <si>
    <t>Payment to Precision Tools Inc - INV2026961</t>
  </si>
  <si>
    <t>BNK202600316</t>
  </si>
  <si>
    <t>Payment to TechParts Co - INV2026217</t>
  </si>
  <si>
    <t>BNK202600317</t>
  </si>
  <si>
    <t>REF96265</t>
  </si>
  <si>
    <t>BNK202600318</t>
  </si>
  <si>
    <t>REF59299</t>
  </si>
  <si>
    <t>Receipt from Xi Automation - SI2026011</t>
  </si>
  <si>
    <t>BNK202600319</t>
  </si>
  <si>
    <t>REF26408</t>
  </si>
  <si>
    <t>Payment to Express Delivery - INV2026632</t>
  </si>
  <si>
    <t>BNK202600320</t>
  </si>
  <si>
    <t>REF28346</t>
  </si>
  <si>
    <t>Payment to Smart Electronics - INV2026802</t>
  </si>
  <si>
    <t>BNK202600321</t>
  </si>
  <si>
    <t>REF93215</t>
  </si>
  <si>
    <t>Payment to FastShip Courier - INV2026671</t>
  </si>
  <si>
    <t>BNK202600322</t>
  </si>
  <si>
    <t>REF55343</t>
  </si>
  <si>
    <t>Payment to Allied Manufacturing - INV2026547</t>
  </si>
  <si>
    <t>BNK202600323</t>
  </si>
  <si>
    <t>REF36371</t>
  </si>
  <si>
    <t>BNK202600324</t>
  </si>
  <si>
    <t>REF11160</t>
  </si>
  <si>
    <t>Payment to Commercial Insurance Co - INV2026147</t>
  </si>
  <si>
    <t>BNK202600325</t>
  </si>
  <si>
    <t>REF30872</t>
  </si>
  <si>
    <t>Payment to TechParts Co - INV2026784</t>
  </si>
  <si>
    <t>BNK202600326</t>
  </si>
  <si>
    <t>REF78376</t>
  </si>
  <si>
    <t>Receipt from Pi Industries - SI2026906</t>
  </si>
  <si>
    <t>BNK202600327</t>
  </si>
  <si>
    <t>REF21547</t>
  </si>
  <si>
    <t>BNK202600328</t>
  </si>
  <si>
    <t>REF41277</t>
  </si>
  <si>
    <t>BNK202600329</t>
  </si>
  <si>
    <t>REF94593</t>
  </si>
  <si>
    <t>Payment to Express Delivery - INV2026073</t>
  </si>
  <si>
    <t>BNK202600330</t>
  </si>
  <si>
    <t>REF64053</t>
  </si>
  <si>
    <t>Payment to Delta Components - INV2026776</t>
  </si>
  <si>
    <t>BNK202600331</t>
  </si>
  <si>
    <t>REF62518</t>
  </si>
  <si>
    <t>BNK202600332</t>
  </si>
  <si>
    <t>REF32848</t>
  </si>
  <si>
    <t>Payment to Premium Steel Inc - INV2026725</t>
  </si>
  <si>
    <t>BNK202600333</t>
  </si>
  <si>
    <t>REF89929</t>
  </si>
  <si>
    <t>Receipt from Upsilon Engineering - SI2026438</t>
  </si>
  <si>
    <t>BNK202600334</t>
  </si>
  <si>
    <t>REF76751</t>
  </si>
  <si>
    <t>Payment to TechParts Co - INV2026327</t>
  </si>
  <si>
    <t>BNK202600335</t>
  </si>
  <si>
    <t>REF26119</t>
  </si>
  <si>
    <t>Receipt from Tau Manufacturing - SI2026508</t>
  </si>
  <si>
    <t>BNK202600336</t>
  </si>
  <si>
    <t>REF76161</t>
  </si>
  <si>
    <t>Payment to Express Delivery - INV2026983</t>
  </si>
  <si>
    <t>BNK202600337</t>
  </si>
  <si>
    <t>REF75772</t>
  </si>
  <si>
    <t>Payment to Commercial Insurance Co - INV2026782</t>
  </si>
  <si>
    <t>BNK202600338</t>
  </si>
  <si>
    <t>REF29168</t>
  </si>
  <si>
    <t>BNK202600339</t>
  </si>
  <si>
    <t>REF44901</t>
  </si>
  <si>
    <t>BNK202600340</t>
  </si>
  <si>
    <t>REF92799</t>
  </si>
  <si>
    <t>Receipt from Beta Industries - SI2026927</t>
  </si>
  <si>
    <t>BNK202600341</t>
  </si>
  <si>
    <t>REF77485</t>
  </si>
  <si>
    <t>Paymnet to TechParts Co - INV2026528</t>
  </si>
  <si>
    <t>BNK202600342</t>
  </si>
  <si>
    <t>REF15755</t>
  </si>
  <si>
    <t>Receipt from Beta Industries - SI2026922</t>
  </si>
  <si>
    <t>BNK202600343</t>
  </si>
  <si>
    <t>REF24551</t>
  </si>
  <si>
    <t>Receipt from Pi Industries - SI2026341</t>
  </si>
  <si>
    <t>BNK202600344</t>
  </si>
  <si>
    <t>REF14554</t>
  </si>
  <si>
    <t>Payment to Commercial Insurance Co - INV2026655</t>
  </si>
  <si>
    <t>BNK202600345</t>
  </si>
  <si>
    <t>REF79261</t>
  </si>
  <si>
    <t>Receipt from Xi Automation - SI2026628</t>
  </si>
  <si>
    <t>BNK202600346</t>
  </si>
  <si>
    <t>REF62532</t>
  </si>
  <si>
    <t>BNK202600347</t>
  </si>
  <si>
    <t>REF47932</t>
  </si>
  <si>
    <t>Payment to Office Solutions - INV2026970</t>
  </si>
  <si>
    <t>BNK202600348</t>
  </si>
  <si>
    <t>REF89727</t>
  </si>
  <si>
    <t>Receipt from Theta Corp - SI2026714</t>
  </si>
  <si>
    <t>BNK202600349</t>
  </si>
  <si>
    <t>REF22362</t>
  </si>
  <si>
    <t>Payment to Quality Packaging - INV2026324</t>
  </si>
  <si>
    <t>BNK202600350</t>
  </si>
  <si>
    <t>REF31241</t>
  </si>
  <si>
    <t>BNK202600351</t>
  </si>
  <si>
    <t>REF96574</t>
  </si>
  <si>
    <t>Payment to Delta Components - INV2026511</t>
  </si>
  <si>
    <t>BNK202600352</t>
  </si>
  <si>
    <t>REF61631</t>
  </si>
  <si>
    <t>Receipt from Omicron Systems - SI2026785</t>
  </si>
  <si>
    <t>BNK202600353</t>
  </si>
  <si>
    <t>REF96888</t>
  </si>
  <si>
    <t>Receipt from Mu Manufacturing - SI2026578</t>
  </si>
  <si>
    <t>BNK202600354</t>
  </si>
  <si>
    <t>REF15878</t>
  </si>
  <si>
    <t>BNK202600355</t>
  </si>
  <si>
    <t>REF96796</t>
  </si>
  <si>
    <t>Payment to Utility Power Corp - INV2026927</t>
  </si>
  <si>
    <t>BNK202600356</t>
  </si>
  <si>
    <t>REF86899</t>
  </si>
  <si>
    <t>Receipt from Delta Manufacturing - SI2026804</t>
  </si>
  <si>
    <t>BNK202600357</t>
  </si>
  <si>
    <t>REF53841</t>
  </si>
  <si>
    <t>BNK202600358</t>
  </si>
  <si>
    <t>REF30235</t>
  </si>
  <si>
    <t>Receipt from Acme Corporation - SI2026371</t>
  </si>
  <si>
    <t>BNK202600359</t>
  </si>
  <si>
    <t>REF90410</t>
  </si>
  <si>
    <t>Receipt from Acme Corporation - SI2026852</t>
  </si>
  <si>
    <t>BNK202600360</t>
  </si>
  <si>
    <t>REF53804</t>
  </si>
  <si>
    <t>Receipt from Theta Corp - SI2026334</t>
  </si>
  <si>
    <t>BNK202600361</t>
  </si>
  <si>
    <t>REF96541</t>
  </si>
  <si>
    <t>Payment to Safety Equipment Co - INV2026008</t>
  </si>
  <si>
    <t>BNK202600362</t>
  </si>
  <si>
    <t>REF95686</t>
  </si>
  <si>
    <t>Payment to Utility Power Corp - INV2026527</t>
  </si>
  <si>
    <t>BNK202600363</t>
  </si>
  <si>
    <t>REF60438</t>
  </si>
  <si>
    <t>Payment to Delta Components - INV2026036</t>
  </si>
  <si>
    <t>BNK202600364</t>
  </si>
  <si>
    <t>REF10424</t>
  </si>
  <si>
    <t>Receipt from Acme Corporation - SI2026673</t>
  </si>
  <si>
    <t>BNK202600365</t>
  </si>
  <si>
    <t>REF68863</t>
  </si>
  <si>
    <t>Receipt from Sigma Tech - SI2026930</t>
  </si>
  <si>
    <t>BNK202600366</t>
  </si>
  <si>
    <t>REF44177</t>
  </si>
  <si>
    <t>Payment to Allied Manufacturing - INV2026996</t>
  </si>
  <si>
    <t>BNK202600367</t>
  </si>
  <si>
    <t>REF55984</t>
  </si>
  <si>
    <t>BNK202600368</t>
  </si>
  <si>
    <t>REF14203</t>
  </si>
  <si>
    <t>Payment to TechParts Co - INV2026583</t>
  </si>
  <si>
    <t>BNK202600369</t>
  </si>
  <si>
    <t>REF59799</t>
  </si>
  <si>
    <t>Payment to Pacific Trading - INV2026332</t>
  </si>
  <si>
    <t>BNK202600370</t>
  </si>
  <si>
    <t>REF27592</t>
  </si>
  <si>
    <t>BNK202600371</t>
  </si>
  <si>
    <t>REF64470</t>
  </si>
  <si>
    <t>BNK202600372</t>
  </si>
  <si>
    <t>REF45599</t>
  </si>
  <si>
    <t>Receipt from Lambda Tech - SI2026320</t>
  </si>
  <si>
    <t>BNK202600373</t>
  </si>
  <si>
    <t>REF75529</t>
  </si>
  <si>
    <t>BNK202600374</t>
  </si>
  <si>
    <t>REF26824</t>
  </si>
  <si>
    <t>Payment to Smart Electronics - INV2026333</t>
  </si>
  <si>
    <t>BNK202600375</t>
  </si>
  <si>
    <t>REF12772</t>
  </si>
  <si>
    <t>Payment to Delta Components - INV2026905</t>
  </si>
  <si>
    <t>BNK202600376</t>
  </si>
  <si>
    <t>BNK202600377</t>
  </si>
  <si>
    <t>REF61672</t>
  </si>
  <si>
    <t>Payment to Delta Components - INV2026011</t>
  </si>
  <si>
    <t>BNK202600378</t>
  </si>
  <si>
    <t>REF40197</t>
  </si>
  <si>
    <t>Receipt from Rho Corporation - SI2026810</t>
  </si>
  <si>
    <t>BNK202600379</t>
  </si>
  <si>
    <t>REF64895</t>
  </si>
  <si>
    <t>Payment to Pacific Trading - INV2026707</t>
  </si>
  <si>
    <t>BNK202600380</t>
  </si>
  <si>
    <t>REF17746</t>
  </si>
  <si>
    <t>Payment to Industrial Chemicals Ltd - INV2026386</t>
  </si>
  <si>
    <t>BNK202600381</t>
  </si>
  <si>
    <t>REF62907</t>
  </si>
  <si>
    <t>BNK202600382</t>
  </si>
  <si>
    <t>REF50274</t>
  </si>
  <si>
    <t>Receipt from Sigma Tech - SI2026176</t>
  </si>
  <si>
    <t>BNK202600383</t>
  </si>
  <si>
    <t>REF48104</t>
  </si>
  <si>
    <t>Receipt from Sigma Tech - SI2026921</t>
  </si>
  <si>
    <t>BNK202600384</t>
  </si>
  <si>
    <t>REF44482</t>
  </si>
  <si>
    <t>BNK202600385</t>
  </si>
  <si>
    <t>REF77436</t>
  </si>
  <si>
    <t>Receipt from Beta Industries - SI2026328</t>
  </si>
  <si>
    <t>27/04/2026</t>
  </si>
  <si>
    <t>BNK202600386</t>
  </si>
  <si>
    <t>REF91687</t>
  </si>
  <si>
    <t>Receipt from Eta Systems - SI2026466</t>
  </si>
  <si>
    <t>BNK202600387</t>
  </si>
  <si>
    <t>REF36862</t>
  </si>
  <si>
    <t>Receipt from Upsilon Engineering - SI2026414</t>
  </si>
  <si>
    <t>BNK202600388</t>
  </si>
  <si>
    <t>REF93269</t>
  </si>
  <si>
    <t>BNK202600389</t>
  </si>
  <si>
    <t>REF98156</t>
  </si>
  <si>
    <t>Payment to Premium Steel Inc - INV2026260</t>
  </si>
  <si>
    <t>BNK202600390</t>
  </si>
  <si>
    <t>REF62003</t>
  </si>
  <si>
    <t>BNK202600391</t>
  </si>
  <si>
    <t>REF53669</t>
  </si>
  <si>
    <t>Payment to Delta Components - INV2026710</t>
  </si>
  <si>
    <t>BNK202600392</t>
  </si>
  <si>
    <t>REF75197</t>
  </si>
  <si>
    <t>Receipt from Theta Corp - SI2026303</t>
  </si>
  <si>
    <t>BNK202600393</t>
  </si>
  <si>
    <t>REF69128</t>
  </si>
  <si>
    <t>Receipt from Mu Manufacturing - SI2026347</t>
  </si>
  <si>
    <t>BNK202600394</t>
  </si>
  <si>
    <t>REF30400</t>
  </si>
  <si>
    <t>Payment to Apex Industrial Supply - INV2026895</t>
  </si>
  <si>
    <t>BNK202600395</t>
  </si>
  <si>
    <t>REF78446</t>
  </si>
  <si>
    <t>BNK202600396</t>
  </si>
  <si>
    <t>REF20237</t>
  </si>
  <si>
    <t>Receipt from Theta Corp - SI2026374</t>
  </si>
  <si>
    <t>BNK202600397</t>
  </si>
  <si>
    <t>REF24830</t>
  </si>
  <si>
    <t>Payment to Singapore Telecom - INV2026934</t>
  </si>
  <si>
    <t>BNK202600398</t>
  </si>
  <si>
    <t>REF67997</t>
  </si>
  <si>
    <t>Receipt from Iota Industries - SI2026343</t>
  </si>
  <si>
    <t>BNK202600399</t>
  </si>
  <si>
    <t>REF19780</t>
  </si>
  <si>
    <t>Payment to Commercial Insurance Co - INV2026725</t>
  </si>
  <si>
    <t>BNK202600400</t>
  </si>
  <si>
    <t>REF84036</t>
  </si>
  <si>
    <t>Payment to Quality Packaging - INV2026051</t>
  </si>
  <si>
    <t>BNK202600470</t>
  </si>
  <si>
    <t>BNK202600481</t>
  </si>
  <si>
    <t>BNK202600432</t>
  </si>
  <si>
    <t>BNK202600435</t>
  </si>
  <si>
    <t>BNK202600434</t>
  </si>
  <si>
    <t>Journal Date</t>
  </si>
  <si>
    <t>Journal ID</t>
  </si>
  <si>
    <t>Department</t>
  </si>
  <si>
    <t>Account Code</t>
  </si>
  <si>
    <t>Reference Number</t>
  </si>
  <si>
    <t>JE202600001</t>
  </si>
  <si>
    <t>Customer Service</t>
  </si>
  <si>
    <t>Receipt - Beta Industries - SI2026287</t>
  </si>
  <si>
    <t>REF36355</t>
  </si>
  <si>
    <t>JE202600002</t>
  </si>
  <si>
    <t>Payment - Office Solutions - INV2026576</t>
  </si>
  <si>
    <t>REF33272</t>
  </si>
  <si>
    <t>JE202600003</t>
  </si>
  <si>
    <t>Marketing</t>
  </si>
  <si>
    <t>Payroll - Marketing</t>
  </si>
  <si>
    <t>PAY75321</t>
  </si>
  <si>
    <t>JE202600004</t>
  </si>
  <si>
    <t>IT</t>
  </si>
  <si>
    <t>Payroll - IT</t>
  </si>
  <si>
    <t>PAY90628</t>
  </si>
  <si>
    <t>JE202600005</t>
  </si>
  <si>
    <t>Operations</t>
  </si>
  <si>
    <t>Marketing - Operations</t>
  </si>
  <si>
    <t>EXP65843</t>
  </si>
  <si>
    <t>JE202600006</t>
  </si>
  <si>
    <t>Procurement</t>
  </si>
  <si>
    <t>Marketing - Procurement</t>
  </si>
  <si>
    <t>EXP26077</t>
  </si>
  <si>
    <t>JE202600007</t>
  </si>
  <si>
    <t>Professional Services - Procurement</t>
  </si>
  <si>
    <t>EXP70273</t>
  </si>
  <si>
    <t>JE202600008</t>
  </si>
  <si>
    <t>Quality</t>
  </si>
  <si>
    <t>Receipt - Iota Industries - SI2026733</t>
  </si>
  <si>
    <t>REF92368</t>
  </si>
  <si>
    <t>JE202600009</t>
  </si>
  <si>
    <t>Payment - Delta Components - INV2026234</t>
  </si>
  <si>
    <t>REF84167</t>
  </si>
  <si>
    <t>JE202600010</t>
  </si>
  <si>
    <t>Sales</t>
  </si>
  <si>
    <t>Travel Expense - Sales</t>
  </si>
  <si>
    <t>EXP62078</t>
  </si>
  <si>
    <t>JE202600011</t>
  </si>
  <si>
    <t>R&amp;D</t>
  </si>
  <si>
    <t>Payment - Apex Industrial Supply - INV2026231</t>
  </si>
  <si>
    <t>REF39850</t>
  </si>
  <si>
    <t>JE202600012</t>
  </si>
  <si>
    <t>Receipt - Zeta Automation - SI2026155</t>
  </si>
  <si>
    <t>REF27078</t>
  </si>
  <si>
    <t>JE202600013</t>
  </si>
  <si>
    <t>Payroll - Sales</t>
  </si>
  <si>
    <t>PAY42647</t>
  </si>
  <si>
    <t>JE202600014</t>
  </si>
  <si>
    <t>Payment - FastShip Courier - INV2026060</t>
  </si>
  <si>
    <t>REF59636</t>
  </si>
  <si>
    <t>JE202600015</t>
  </si>
  <si>
    <t>Finance</t>
  </si>
  <si>
    <t>Receipt - Beta Industries - SI2026619</t>
  </si>
  <si>
    <t>REF84764</t>
  </si>
  <si>
    <t>JE202600016</t>
  </si>
  <si>
    <t>Adjustment Entry - Procurement</t>
  </si>
  <si>
    <t>ADJ75360</t>
  </si>
  <si>
    <t>JE202600017</t>
  </si>
  <si>
    <t>Marketing - IT</t>
  </si>
  <si>
    <t>EXP18467</t>
  </si>
  <si>
    <t>JE202600018</t>
  </si>
  <si>
    <t>Receipt - Beta Industries - SI2026973</t>
  </si>
  <si>
    <t>REF86865</t>
  </si>
  <si>
    <t>JE202600019</t>
  </si>
  <si>
    <t>Payment - Utility Power Corp - INV2026023</t>
  </si>
  <si>
    <t>REF40138</t>
  </si>
  <si>
    <t>JE202600020</t>
  </si>
  <si>
    <t>Receipt - Gamma Tech - SI2026310</t>
  </si>
  <si>
    <t>REF84038</t>
  </si>
  <si>
    <t>JE202600021</t>
  </si>
  <si>
    <t>Payment - Singapore Telecom - INV2026209</t>
  </si>
  <si>
    <t>JE202600022</t>
  </si>
  <si>
    <t>Receipt - Delta Manufacturing - SI2026392</t>
  </si>
  <si>
    <t>REF87512</t>
  </si>
  <si>
    <t>JE202600023</t>
  </si>
  <si>
    <t>EXP39028</t>
  </si>
  <si>
    <t>JE202600024</t>
  </si>
  <si>
    <t>EXP28619</t>
  </si>
  <si>
    <t>JE202600025</t>
  </si>
  <si>
    <t>Professional Services - Quality</t>
  </si>
  <si>
    <t>EXP55402</t>
  </si>
  <si>
    <t>JE202600026</t>
  </si>
  <si>
    <t>Travel Expense - Marketing</t>
  </si>
  <si>
    <t>EXP31692</t>
  </si>
  <si>
    <t>JE202600027</t>
  </si>
  <si>
    <t>Receipt - Gamma Tech - SI2026816</t>
  </si>
  <si>
    <t>REF39019</t>
  </si>
  <si>
    <t>JE202600028</t>
  </si>
  <si>
    <t>HR</t>
  </si>
  <si>
    <t>Receipt - Acme Corporation - SI2026312</t>
  </si>
  <si>
    <t>REF51452</t>
  </si>
  <si>
    <t>JE202600029</t>
  </si>
  <si>
    <t>Office Supplies - Procurement</t>
  </si>
  <si>
    <t>EXP73800</t>
  </si>
  <si>
    <t>JE202600030</t>
  </si>
  <si>
    <t>Professional Services - Marketing</t>
  </si>
  <si>
    <t>EXP71166</t>
  </si>
  <si>
    <t>JE202600031</t>
  </si>
  <si>
    <t>Payment - TechParts Co - INV2026672</t>
  </si>
  <si>
    <t>REF86815</t>
  </si>
  <si>
    <t>JE202600032</t>
  </si>
  <si>
    <t>PAY70455</t>
  </si>
  <si>
    <t>JE202600033</t>
  </si>
  <si>
    <t>Receipt - Delta Manufacturing - SI2026489</t>
  </si>
  <si>
    <t>REF54268</t>
  </si>
  <si>
    <t>JE202600034</t>
  </si>
  <si>
    <t>Adjustment Entry - Operations</t>
  </si>
  <si>
    <t>ADJ39224</t>
  </si>
  <si>
    <t>JE202600035</t>
  </si>
  <si>
    <t>Payment - Delta Components - INV2026748</t>
  </si>
  <si>
    <t>REF36212</t>
  </si>
  <si>
    <t>JE202600036</t>
  </si>
  <si>
    <t>Office Supplies - Quality</t>
  </si>
  <si>
    <t>EXP85612</t>
  </si>
  <si>
    <t>JE202600037</t>
  </si>
  <si>
    <t>Office Supplies - HR</t>
  </si>
  <si>
    <t>EXP80715</t>
  </si>
  <si>
    <t>JE202600038</t>
  </si>
  <si>
    <t>Payroll - R&amp;D</t>
  </si>
  <si>
    <t>PAY24314</t>
  </si>
  <si>
    <t>JE202600039</t>
  </si>
  <si>
    <t>Office Supplies - Finance</t>
  </si>
  <si>
    <t>EXP38862</t>
  </si>
  <si>
    <t>JE202600040</t>
  </si>
  <si>
    <t>Receipt - Gamma Tech - SI2026119</t>
  </si>
  <si>
    <t>REF25276</t>
  </si>
  <si>
    <t>JE202600041</t>
  </si>
  <si>
    <t>Adjustment Entry - HR</t>
  </si>
  <si>
    <t>ADJ69136</t>
  </si>
  <si>
    <t>JE202600042</t>
  </si>
  <si>
    <t>Receipt - Delta Manufacturing - SI2026322</t>
  </si>
  <si>
    <t>REF59789</t>
  </si>
  <si>
    <t>JE202600043</t>
  </si>
  <si>
    <t>EXP70878</t>
  </si>
  <si>
    <t>JE202600044</t>
  </si>
  <si>
    <t>Professional Services - Finance</t>
  </si>
  <si>
    <t>EXP36400</t>
  </si>
  <si>
    <t>JE202600045</t>
  </si>
  <si>
    <t>Receipt - Epsilon Engineering - SI2026761</t>
  </si>
  <si>
    <t>REF75042</t>
  </si>
  <si>
    <t>JE202600046</t>
  </si>
  <si>
    <t>PAY38794</t>
  </si>
  <si>
    <t>JE202600047</t>
  </si>
  <si>
    <t>Payroll - Quality</t>
  </si>
  <si>
    <t>PAY99744</t>
  </si>
  <si>
    <t>JE202600048</t>
  </si>
  <si>
    <t>Payment - FastShip Courier - INV2026759</t>
  </si>
  <si>
    <t>REF12626</t>
  </si>
  <si>
    <t>JE202600049</t>
  </si>
  <si>
    <t>Payment - Premium Steel Inc - INV2026550</t>
  </si>
  <si>
    <t>REF87671</t>
  </si>
  <si>
    <t>JE202600050</t>
  </si>
  <si>
    <t>Receipt - Epsilon Engineering - SI2026681</t>
  </si>
  <si>
    <t>REF84357</t>
  </si>
  <si>
    <t>JE202600051</t>
  </si>
  <si>
    <t>PAY92592</t>
  </si>
  <si>
    <t>JE202600052</t>
  </si>
  <si>
    <t>Receipt - Acme Corporation - SI2026915</t>
  </si>
  <si>
    <t>REF33603</t>
  </si>
  <si>
    <t>JE202600053</t>
  </si>
  <si>
    <t>Receipt - Gamma Tech - SI2026062</t>
  </si>
  <si>
    <t>REF98267</t>
  </si>
  <si>
    <t>JE202600054</t>
  </si>
  <si>
    <t>Payment - Delta Components - INV2026743</t>
  </si>
  <si>
    <t>REF12916</t>
  </si>
  <si>
    <t>JE202600055</t>
  </si>
  <si>
    <t>Payment - TechParts Co - INV2026757</t>
  </si>
  <si>
    <t>REF23198</t>
  </si>
  <si>
    <t>JE202600056</t>
  </si>
  <si>
    <t>Marketing - Marketing</t>
  </si>
  <si>
    <t>EXP70143</t>
  </si>
  <si>
    <t>JE202600057</t>
  </si>
  <si>
    <t>Receipt - Delta Manufacturing - SI2026078</t>
  </si>
  <si>
    <t>REF23898</t>
  </si>
  <si>
    <t>JE202600058</t>
  </si>
  <si>
    <t>Payment - FastShip Courier - INV2026329</t>
  </si>
  <si>
    <t>REF39410</t>
  </si>
  <si>
    <t>JE202600059</t>
  </si>
  <si>
    <t>Payment - Singapore Telecom - INV2026479</t>
  </si>
  <si>
    <t>REF32928</t>
  </si>
  <si>
    <t>JE202600060</t>
  </si>
  <si>
    <t>Payroll - HR</t>
  </si>
  <si>
    <t>PAY54251</t>
  </si>
  <si>
    <t>17-01-2026</t>
  </si>
  <si>
    <t>JE202600061</t>
  </si>
  <si>
    <t>PAY32723</t>
  </si>
  <si>
    <t>JE202600062</t>
  </si>
  <si>
    <t>Marketing - Finance</t>
  </si>
  <si>
    <t>EXP43555</t>
  </si>
  <si>
    <t>JE202600063</t>
  </si>
  <si>
    <t>Payroll - Operations</t>
  </si>
  <si>
    <t>PAY33991</t>
  </si>
  <si>
    <t>JE202600064</t>
  </si>
  <si>
    <t>Travel Expense - Operations</t>
  </si>
  <si>
    <t>EXP14318</t>
  </si>
  <si>
    <t>JE202600065</t>
  </si>
  <si>
    <t>PAY22919</t>
  </si>
  <si>
    <t>JE202600066</t>
  </si>
  <si>
    <t>EXP26955</t>
  </si>
  <si>
    <t>JE202600067</t>
  </si>
  <si>
    <t>Payroll - Customer Service</t>
  </si>
  <si>
    <t>PAY17122</t>
  </si>
  <si>
    <t>JE202600068</t>
  </si>
  <si>
    <t>Receipt - Delta Manufacturing - SI2026151</t>
  </si>
  <si>
    <t>REF53768</t>
  </si>
  <si>
    <t>JE202600069</t>
  </si>
  <si>
    <t>Receipt - Iota Industries - SI2026475</t>
  </si>
  <si>
    <t>REF28102</t>
  </si>
  <si>
    <t>JE202600070</t>
  </si>
  <si>
    <t>Receipt - Zeta Automation - SI2026939</t>
  </si>
  <si>
    <t>REF20875</t>
  </si>
  <si>
    <t>JE202600071</t>
  </si>
  <si>
    <t>Receipt - Beta Industries - SI2026709</t>
  </si>
  <si>
    <t>REF42675</t>
  </si>
  <si>
    <t>JE202600072</t>
  </si>
  <si>
    <t>Payment - Office Solutions - INV2026150</t>
  </si>
  <si>
    <t>REF82129</t>
  </si>
  <si>
    <t>JE202600073</t>
  </si>
  <si>
    <t>EXP57947</t>
  </si>
  <si>
    <t>JE202600074</t>
  </si>
  <si>
    <t>Receipt - Epsilon Engineering - SI2026533</t>
  </si>
  <si>
    <t>REF10564</t>
  </si>
  <si>
    <t>JE202600075</t>
  </si>
  <si>
    <t>Payment - FastShip Courier - INV2026457</t>
  </si>
  <si>
    <t>REF24339</t>
  </si>
  <si>
    <t>JE202600076</t>
  </si>
  <si>
    <t>Marketing - Sales</t>
  </si>
  <si>
    <t>EXP97768</t>
  </si>
  <si>
    <t>JE202600077</t>
  </si>
  <si>
    <t>Payment - Office Solutions - INV2026799</t>
  </si>
  <si>
    <t>REF21729</t>
  </si>
  <si>
    <t>JE202600078</t>
  </si>
  <si>
    <t>Utilities - Sales</t>
  </si>
  <si>
    <t>EXP26002</t>
  </si>
  <si>
    <t>JE202600079</t>
  </si>
  <si>
    <t>EXP77638</t>
  </si>
  <si>
    <t>JE202600080</t>
  </si>
  <si>
    <t>Payment - Singapore Telecom - INV2026286</t>
  </si>
  <si>
    <t>REF21944</t>
  </si>
  <si>
    <t>JE202600081</t>
  </si>
  <si>
    <t>Payment - TechParts Co - INV2026358</t>
  </si>
  <si>
    <t>JE202600082</t>
  </si>
  <si>
    <t>Receipt - Zeta Automation - SI2026917</t>
  </si>
  <si>
    <t>JE202600083</t>
  </si>
  <si>
    <t>Office Supplies - IT</t>
  </si>
  <si>
    <t>EXP46294</t>
  </si>
  <si>
    <t>JE202600084</t>
  </si>
  <si>
    <t>Receipt - Kappa Solutions - SI2026857</t>
  </si>
  <si>
    <t>REF27224</t>
  </si>
  <si>
    <t>JE202600085</t>
  </si>
  <si>
    <t>Payment - Premium Steel Inc - INV2026593</t>
  </si>
  <si>
    <t>REF48320</t>
  </si>
  <si>
    <t>JE202600086</t>
  </si>
  <si>
    <t>Receipt - Epsilon Engineering - SI2026989</t>
  </si>
  <si>
    <t>REF95415</t>
  </si>
  <si>
    <t>JE202600087</t>
  </si>
  <si>
    <t>Payment - Utility Power Corp - INV2026591</t>
  </si>
  <si>
    <t>REF15286</t>
  </si>
  <si>
    <t>JE202600088</t>
  </si>
  <si>
    <t>EXP56155</t>
  </si>
  <si>
    <t>JE202600089</t>
  </si>
  <si>
    <t>Payment - Delta Components - INV2026711</t>
  </si>
  <si>
    <t>REF35033</t>
  </si>
  <si>
    <t>JE202600090</t>
  </si>
  <si>
    <t>Receipt - Beta Industries - SI2026702</t>
  </si>
  <si>
    <t>REF83924</t>
  </si>
  <si>
    <t>JE202600091</t>
  </si>
  <si>
    <t>EXP25690</t>
  </si>
  <si>
    <t>JE202600092</t>
  </si>
  <si>
    <t>Payment - Premium Steel Inc - INV2026044</t>
  </si>
  <si>
    <t>REF75276</t>
  </si>
  <si>
    <t>JE202600093</t>
  </si>
  <si>
    <t>Payment - Premium Steel Inc - INV2026799</t>
  </si>
  <si>
    <t>REF57919</t>
  </si>
  <si>
    <t>JE202600094</t>
  </si>
  <si>
    <t>Payment - Global Logistics Ltd - INV2026111</t>
  </si>
  <si>
    <t>REF24839</t>
  </si>
  <si>
    <t>JE202600095</t>
  </si>
  <si>
    <t>Payment - Delta Components - INV2026074</t>
  </si>
  <si>
    <t>REF75562</t>
  </si>
  <si>
    <t>JE202600096</t>
  </si>
  <si>
    <t>Receipt - Acme Corporation - SI2026427</t>
  </si>
  <si>
    <t>REF64706</t>
  </si>
  <si>
    <t>JE202600097</t>
  </si>
  <si>
    <t>PAY33892</t>
  </si>
  <si>
    <t>JE202600098</t>
  </si>
  <si>
    <t>Receipt - Epsilon Engineering - SI2026630</t>
  </si>
  <si>
    <t>REF92956</t>
  </si>
  <si>
    <t>JE202600099</t>
  </si>
  <si>
    <t>Travel Expense - IT</t>
  </si>
  <si>
    <t>EXP78809</t>
  </si>
  <si>
    <t>JE202600100</t>
  </si>
  <si>
    <t>EXP96451</t>
  </si>
  <si>
    <t>JE202600101</t>
  </si>
  <si>
    <t>Payment - Office Solutions - INV2026418</t>
  </si>
  <si>
    <t>REF11466</t>
  </si>
  <si>
    <t>JE202600102</t>
  </si>
  <si>
    <t>Payment - Apex Industrial Supply - INV2026449</t>
  </si>
  <si>
    <t>REF28451</t>
  </si>
  <si>
    <t>JE202600103</t>
  </si>
  <si>
    <t>Payment - Delta Components - INV2026777</t>
  </si>
  <si>
    <t>REF69011</t>
  </si>
  <si>
    <t>JE202600104</t>
  </si>
  <si>
    <t>PAY55865</t>
  </si>
  <si>
    <t>JE202600105</t>
  </si>
  <si>
    <t>Payment - Delta Components - INV2026076</t>
  </si>
  <si>
    <t>REF48633</t>
  </si>
  <si>
    <t>JE202600106</t>
  </si>
  <si>
    <t>Payment - Singapore Telecom - INV2026059</t>
  </si>
  <si>
    <t>REF18255</t>
  </si>
  <si>
    <t>JE202600107</t>
  </si>
  <si>
    <t>Receipt - Gamma Tech - SI2026549</t>
  </si>
  <si>
    <t>REF26125</t>
  </si>
  <si>
    <t>JE202600108</t>
  </si>
  <si>
    <t>Office Supplies - Sales</t>
  </si>
  <si>
    <t>EXP74031</t>
  </si>
  <si>
    <t>JE202600109</t>
  </si>
  <si>
    <t>Marketing - HR</t>
  </si>
  <si>
    <t>EXP57916</t>
  </si>
  <si>
    <t>JE202600110</t>
  </si>
  <si>
    <t>Receipt - Zeta Automation - SI2026742</t>
  </si>
  <si>
    <t>REF28052</t>
  </si>
  <si>
    <t>JE202600111</t>
  </si>
  <si>
    <t>Receipt - Theta Corp - SI2026418</t>
  </si>
  <si>
    <t>REF77769</t>
  </si>
  <si>
    <t>JE202600112</t>
  </si>
  <si>
    <t>Adjustment Entry - Sales</t>
  </si>
  <si>
    <t>ADJ61506</t>
  </si>
  <si>
    <t>JE202600113</t>
  </si>
  <si>
    <t>Receipt - Gamma Tech - SI2026857</t>
  </si>
  <si>
    <t>REF97228</t>
  </si>
  <si>
    <t>JE202600114</t>
  </si>
  <si>
    <t>Payment - Office Solutions - INV2026645</t>
  </si>
  <si>
    <t>REF94784</t>
  </si>
  <si>
    <t>JE202600115</t>
  </si>
  <si>
    <t>EXP20543</t>
  </si>
  <si>
    <t>JE202600116</t>
  </si>
  <si>
    <t>Payment - TechParts Co - INV2026074</t>
  </si>
  <si>
    <t>REF32896</t>
  </si>
  <si>
    <t>JE202600117</t>
  </si>
  <si>
    <t>Travel Expense - HR</t>
  </si>
  <si>
    <t>EXP16575</t>
  </si>
  <si>
    <t>JE202600118</t>
  </si>
  <si>
    <t>PAY37328</t>
  </si>
  <si>
    <t>JE202600119</t>
  </si>
  <si>
    <t>Payroll - Finance</t>
  </si>
  <si>
    <t>PAY96636</t>
  </si>
  <si>
    <t>JE202600120</t>
  </si>
  <si>
    <t>EXP25421</t>
  </si>
  <si>
    <t>JE202600121</t>
  </si>
  <si>
    <t>Payment - FastShip Courier - INV2026028</t>
  </si>
  <si>
    <t>REF12263</t>
  </si>
  <si>
    <t>JE202600122</t>
  </si>
  <si>
    <t>Receipt - Beta Industries - SI2026282</t>
  </si>
  <si>
    <t>REF94233</t>
  </si>
  <si>
    <t>JE202600123</t>
  </si>
  <si>
    <t>Receipt - Acme Corporation - SI2026791</t>
  </si>
  <si>
    <t>REF57297</t>
  </si>
  <si>
    <t>JE202600124</t>
  </si>
  <si>
    <t>Travel Expense - Customer Service</t>
  </si>
  <si>
    <t>EXP31792</t>
  </si>
  <si>
    <t>JE202600125</t>
  </si>
  <si>
    <t>Payment - Utility Power Corp - INV2026737</t>
  </si>
  <si>
    <t>REF24160</t>
  </si>
  <si>
    <t>JE202600126</t>
  </si>
  <si>
    <t>Adjustment Entry - Finance</t>
  </si>
  <si>
    <t>ADJ65087</t>
  </si>
  <si>
    <t>JE202600127</t>
  </si>
  <si>
    <t>Office Supplies - Customer Service</t>
  </si>
  <si>
    <t>EXP83172</t>
  </si>
  <si>
    <t>JE202600128</t>
  </si>
  <si>
    <t>ADJ98822</t>
  </si>
  <si>
    <t>JE202600129</t>
  </si>
  <si>
    <t>ADJ81860</t>
  </si>
  <si>
    <t>JE202600130</t>
  </si>
  <si>
    <t>Receipt - Delta Manufacturing - SI2026009</t>
  </si>
  <si>
    <t>REF73787</t>
  </si>
  <si>
    <t>JE202600131</t>
  </si>
  <si>
    <t>Receipt - Kappa Solutions - SI2026808</t>
  </si>
  <si>
    <t>REF27475</t>
  </si>
  <si>
    <t>JE202600132</t>
  </si>
  <si>
    <t>Payment - Singapore Telecom - INV2026673</t>
  </si>
  <si>
    <t>REF32164</t>
  </si>
  <si>
    <t>JE202600133</t>
  </si>
  <si>
    <t>Payment - Utility Power Corp - INV2026985</t>
  </si>
  <si>
    <t>REF20491</t>
  </si>
  <si>
    <t>JE202600134</t>
  </si>
  <si>
    <t>Utilities - Customer Service</t>
  </si>
  <si>
    <t>EXP43737</t>
  </si>
  <si>
    <t>JE202600135</t>
  </si>
  <si>
    <t>EXP10621</t>
  </si>
  <si>
    <t>JE202600136</t>
  </si>
  <si>
    <t>Receipt - Theta Corp - SI2026563</t>
  </si>
  <si>
    <t>REF18417</t>
  </si>
  <si>
    <t>JE202600137</t>
  </si>
  <si>
    <t>Receipt - Delta Manufacturing - SI2026946</t>
  </si>
  <si>
    <t>REF37187</t>
  </si>
  <si>
    <t>JE202600138</t>
  </si>
  <si>
    <t>Payment - Utility Power Corp - INV2026231</t>
  </si>
  <si>
    <t>REF10676</t>
  </si>
  <si>
    <t>JE202600139</t>
  </si>
  <si>
    <t>Receipt - Beta Industries - SI2026466</t>
  </si>
  <si>
    <t>REF81483</t>
  </si>
  <si>
    <t>JE202600140</t>
  </si>
  <si>
    <t>Payment - FastShip Courier - INV2026173</t>
  </si>
  <si>
    <t>REF87233</t>
  </si>
  <si>
    <t>JE202600141</t>
  </si>
  <si>
    <t>JE202600142</t>
  </si>
  <si>
    <t>Adjustment Entry - Customer Service</t>
  </si>
  <si>
    <t>ADJ88319</t>
  </si>
  <si>
    <t>JE202600143</t>
  </si>
  <si>
    <t>Payment - Singapore Telecom - INV2026469</t>
  </si>
  <si>
    <t>REF53492</t>
  </si>
  <si>
    <t>JE202600144</t>
  </si>
  <si>
    <t>PAY10432</t>
  </si>
  <si>
    <t>JE202600145</t>
  </si>
  <si>
    <t>Payment - FastShip Courier - INV2026219</t>
  </si>
  <si>
    <t>REF48460</t>
  </si>
  <si>
    <t>JE202600146</t>
  </si>
  <si>
    <t>Receipt - Delta Manufacturing - SI2026538</t>
  </si>
  <si>
    <t>REF27860</t>
  </si>
  <si>
    <t>JE202600147</t>
  </si>
  <si>
    <t>EXP76873</t>
  </si>
  <si>
    <t>JE202600148</t>
  </si>
  <si>
    <t>Office Supplies - Marketing</t>
  </si>
  <si>
    <t>EXP24661</t>
  </si>
  <si>
    <t>JE202600149</t>
  </si>
  <si>
    <t>Utilities - HR</t>
  </si>
  <si>
    <t>EXP98445</t>
  </si>
  <si>
    <t>JE202600150</t>
  </si>
  <si>
    <t>Receipt - Delta Manufacturing - SI2026972</t>
  </si>
  <si>
    <t>REF90437</t>
  </si>
  <si>
    <t>JE202600151</t>
  </si>
  <si>
    <t>Receipt - Delta Manufacturing - SI2026119</t>
  </si>
  <si>
    <t>REF28058</t>
  </si>
  <si>
    <t>JE202600152</t>
  </si>
  <si>
    <t>Payment - Office Solutions - INV2026919</t>
  </si>
  <si>
    <t>REF97633</t>
  </si>
  <si>
    <t>JE202600153</t>
  </si>
  <si>
    <t>Payment - Allied Manufacturing - INV2026158</t>
  </si>
  <si>
    <t>JE202600154</t>
  </si>
  <si>
    <t>Receipt - Epsilon Engineering - SI2026357</t>
  </si>
  <si>
    <t>REF26008</t>
  </si>
  <si>
    <t>JE202600155</t>
  </si>
  <si>
    <t>Marketing - Customer Service</t>
  </si>
  <si>
    <t>EXP74223</t>
  </si>
  <si>
    <t>JE202600156</t>
  </si>
  <si>
    <t>Receipt - Eta Systems - SI2026982</t>
  </si>
  <si>
    <t>REF32197</t>
  </si>
  <si>
    <t>JE202600157</t>
  </si>
  <si>
    <t>Receipt - Acme Corporation - SI2026730</t>
  </si>
  <si>
    <t>REF86047</t>
  </si>
  <si>
    <t>JE202600158</t>
  </si>
  <si>
    <t>Payment - TechParts Co - INV2026194</t>
  </si>
  <si>
    <t>REF55816</t>
  </si>
  <si>
    <t>JE202600159</t>
  </si>
  <si>
    <t>Receipt - Beta Industries - SI2026558</t>
  </si>
  <si>
    <t>REF60498</t>
  </si>
  <si>
    <t>JE202600160</t>
  </si>
  <si>
    <t>Receipt - Theta Corp - SI2026993</t>
  </si>
  <si>
    <t>REF39435</t>
  </si>
  <si>
    <t>JE202600161</t>
  </si>
  <si>
    <t>Receipt - Kappa Solutions - SI2026104</t>
  </si>
  <si>
    <t>REF97508</t>
  </si>
  <si>
    <t>JE202600162</t>
  </si>
  <si>
    <t>Receipt - Gamma Tech - SI2026281</t>
  </si>
  <si>
    <t>REF55595</t>
  </si>
  <si>
    <t>JE202600163</t>
  </si>
  <si>
    <t>Payment - Global Logistics Ltd - INV2026278</t>
  </si>
  <si>
    <t>REF33698</t>
  </si>
  <si>
    <t>JE202600164</t>
  </si>
  <si>
    <t>Payment - Premium Steel Inc - INV2026237</t>
  </si>
  <si>
    <t>REF33727</t>
  </si>
  <si>
    <t>JE202600165</t>
  </si>
  <si>
    <t>Professional Services - Customer Service</t>
  </si>
  <si>
    <t>EXP13709</t>
  </si>
  <si>
    <t>JE202600166</t>
  </si>
  <si>
    <t>Payment - Premium Steel Inc - INV2026722</t>
  </si>
  <si>
    <t>REF30783</t>
  </si>
  <si>
    <t>JE202600167</t>
  </si>
  <si>
    <t>EXP52193</t>
  </si>
  <si>
    <t>JE202600168</t>
  </si>
  <si>
    <t>ADJ58458</t>
  </si>
  <si>
    <t>JE202600169</t>
  </si>
  <si>
    <t>EXP25126</t>
  </si>
  <si>
    <t>JE202600170</t>
  </si>
  <si>
    <t>Travel Expense - Procurement</t>
  </si>
  <si>
    <t>EXP73912</t>
  </si>
  <si>
    <t>JE202600171</t>
  </si>
  <si>
    <t>Receipt - Theta Corp - SI2026850</t>
  </si>
  <si>
    <t>REF50351</t>
  </si>
  <si>
    <t>JE202600172</t>
  </si>
  <si>
    <t>Payment - Office Solutions - INV2026521</t>
  </si>
  <si>
    <t>REF59936</t>
  </si>
  <si>
    <t>JE202600173</t>
  </si>
  <si>
    <t>Utilities - R&amp;D</t>
  </si>
  <si>
    <t>EXP72770</t>
  </si>
  <si>
    <t>JE202600174</t>
  </si>
  <si>
    <t>Adjustment Entry - IT</t>
  </si>
  <si>
    <t>ADJ37275</t>
  </si>
  <si>
    <t>JE202600175</t>
  </si>
  <si>
    <t>Receipt - Beta Industries - SI2026180</t>
  </si>
  <si>
    <t>REF40080</t>
  </si>
  <si>
    <t>JE202600176</t>
  </si>
  <si>
    <t>Receipt - Eta Systems - SI2026659</t>
  </si>
  <si>
    <t>REF61193</t>
  </si>
  <si>
    <t>JE202600177</t>
  </si>
  <si>
    <t>EXP27637</t>
  </si>
  <si>
    <t>JE202600178</t>
  </si>
  <si>
    <t>Payment - Global Logistics Ltd - INV2026891</t>
  </si>
  <si>
    <t>REF17760</t>
  </si>
  <si>
    <t>JE202600179</t>
  </si>
  <si>
    <t>Receipt - Gamma Tech - SI2026762</t>
  </si>
  <si>
    <t>REF15583</t>
  </si>
  <si>
    <t>JE202600180</t>
  </si>
  <si>
    <t>Payment - FastShip Courier - INV2026909</t>
  </si>
  <si>
    <t>REF51904</t>
  </si>
  <si>
    <t>24-02-2026</t>
  </si>
  <si>
    <t>JE202600181</t>
  </si>
  <si>
    <t>Payment - FastShip Courier - INV2026835</t>
  </si>
  <si>
    <t>REF40786</t>
  </si>
  <si>
    <t>JE202600182</t>
  </si>
  <si>
    <t>Payroll - Procurement</t>
  </si>
  <si>
    <t>PAY60000</t>
  </si>
  <si>
    <t>JE202600183</t>
  </si>
  <si>
    <t>Payment - Delta Components - INV2026007</t>
  </si>
  <si>
    <t>REF13829</t>
  </si>
  <si>
    <t>JE202600184</t>
  </si>
  <si>
    <t>EXP30326</t>
  </si>
  <si>
    <t>JE202600185</t>
  </si>
  <si>
    <t>Payment - Utility Power Corp - INV2026213</t>
  </si>
  <si>
    <t>REF92414</t>
  </si>
  <si>
    <t>JE202600186</t>
  </si>
  <si>
    <t>Payment - TechParts Co - INV2026037</t>
  </si>
  <si>
    <t>REF33452</t>
  </si>
  <si>
    <t>JE202600187</t>
  </si>
  <si>
    <t>Receipt - Epsilon Engineering - SI2026465</t>
  </si>
  <si>
    <t>REF33420</t>
  </si>
  <si>
    <t>JE202600188</t>
  </si>
  <si>
    <t>Payment - Apex Industrial Supply - INV2026321</t>
  </si>
  <si>
    <t>REF46281</t>
  </si>
  <si>
    <t>JE202600189</t>
  </si>
  <si>
    <t>Payment - FastShip Courier - INV2026784</t>
  </si>
  <si>
    <t>REF15493</t>
  </si>
  <si>
    <t>JE202600190</t>
  </si>
  <si>
    <t>PAY29304</t>
  </si>
  <si>
    <t>JE202600191</t>
  </si>
  <si>
    <t>Receipt - Zeta Automation - SI2026439</t>
  </si>
  <si>
    <t>REF63131</t>
  </si>
  <si>
    <t>JE202600192</t>
  </si>
  <si>
    <t>Payment - Premium Steel Inc - INV2026545</t>
  </si>
  <si>
    <t>REF24490</t>
  </si>
  <si>
    <t>JE202600193</t>
  </si>
  <si>
    <t>Receipt - Delta Manufacturing - SI2026435</t>
  </si>
  <si>
    <t>REF27604</t>
  </si>
  <si>
    <t>JE202600194</t>
  </si>
  <si>
    <t>ADJ67102</t>
  </si>
  <si>
    <t>JE202600195</t>
  </si>
  <si>
    <t>Receipt - Acme Corporation - SI2026618</t>
  </si>
  <si>
    <t>REF45210</t>
  </si>
  <si>
    <t>JE202600196</t>
  </si>
  <si>
    <t>PAY37853</t>
  </si>
  <si>
    <t>JE202600197</t>
  </si>
  <si>
    <t>Payment - FastShip Courier - INV2026574</t>
  </si>
  <si>
    <t>REF77167</t>
  </si>
  <si>
    <t>JE202600198</t>
  </si>
  <si>
    <t>PAY11624</t>
  </si>
  <si>
    <t>JE202600199</t>
  </si>
  <si>
    <t>PAY51576</t>
  </si>
  <si>
    <t>JE202600200</t>
  </si>
  <si>
    <t>Receipt - Kappa Solutions - SI2026533</t>
  </si>
  <si>
    <t>REF82461</t>
  </si>
  <si>
    <t>JE202600201</t>
  </si>
  <si>
    <t>Payment - Utility Power Corp - INV2026055</t>
  </si>
  <si>
    <t>JE202600202</t>
  </si>
  <si>
    <t>Payment - FastShip Courier - INV2026046</t>
  </si>
  <si>
    <t>REF66496</t>
  </si>
  <si>
    <t>JE202600203</t>
  </si>
  <si>
    <t>Payment - Premium Steel Inc - INV2026692</t>
  </si>
  <si>
    <t>REF88996</t>
  </si>
  <si>
    <t>JE202600204</t>
  </si>
  <si>
    <t>PAY21763</t>
  </si>
  <si>
    <t>JE202600205</t>
  </si>
  <si>
    <t>Receipt - Zeta Automation - SI2026206</t>
  </si>
  <si>
    <t>REF43285</t>
  </si>
  <si>
    <t>JE202600206</t>
  </si>
  <si>
    <t>Payment - Office Solutions - INV2026243</t>
  </si>
  <si>
    <t>REF80203</t>
  </si>
  <si>
    <t>JE202600207</t>
  </si>
  <si>
    <t>Receipt - Delta Manufacturing - SI2026280</t>
  </si>
  <si>
    <t>REF83898</t>
  </si>
  <si>
    <t>JE202600208</t>
  </si>
  <si>
    <t>Payment - Singapore Telecom - INV2026426</t>
  </si>
  <si>
    <t>REF23531</t>
  </si>
  <si>
    <t>JE202600209</t>
  </si>
  <si>
    <t>Payment - Singapore Telecom - INV2026627</t>
  </si>
  <si>
    <t>REF83843</t>
  </si>
  <si>
    <t>JE202600210</t>
  </si>
  <si>
    <t>Receipt - Zeta Automation - SI2026316</t>
  </si>
  <si>
    <t>REF82310</t>
  </si>
  <si>
    <t>JE202600211</t>
  </si>
  <si>
    <t>Utilities - Finance</t>
  </si>
  <si>
    <t>EXP65737</t>
  </si>
  <si>
    <t>JE202600212</t>
  </si>
  <si>
    <t>Receipt - Beta Industries - SI2026824</t>
  </si>
  <si>
    <t>REF58680</t>
  </si>
  <si>
    <t>JE202600213</t>
  </si>
  <si>
    <t>Payment - Utility Power Corp - INV2026095</t>
  </si>
  <si>
    <t>REF64489</t>
  </si>
  <si>
    <t>JE202600214</t>
  </si>
  <si>
    <t>Payment - Premium Steel Inc - INV2026228</t>
  </si>
  <si>
    <t>REF88559</t>
  </si>
  <si>
    <t>JE202600215</t>
  </si>
  <si>
    <t>Receipt - Gamma Tech - SI2026355</t>
  </si>
  <si>
    <t>REF36455</t>
  </si>
  <si>
    <t>JE202600216</t>
  </si>
  <si>
    <t>Receipt - Theta Corp - SI2026936</t>
  </si>
  <si>
    <t>REF64132</t>
  </si>
  <si>
    <t>JE202600217</t>
  </si>
  <si>
    <t>EXP81254</t>
  </si>
  <si>
    <t>JE202600218</t>
  </si>
  <si>
    <t>ADJ25123</t>
  </si>
  <si>
    <t>JE202600219</t>
  </si>
  <si>
    <t>Payment - TechParts Co - INV2026458</t>
  </si>
  <si>
    <t>REF41808</t>
  </si>
  <si>
    <t>JE202600220</t>
  </si>
  <si>
    <t>EXP91792</t>
  </si>
  <si>
    <t>JE202600221</t>
  </si>
  <si>
    <t>Office Supplies - R&amp;D</t>
  </si>
  <si>
    <t>EXP94570</t>
  </si>
  <si>
    <t>JE202600222</t>
  </si>
  <si>
    <t>Payment - Office Solutions - INV2026305</t>
  </si>
  <si>
    <t>REF73281</t>
  </si>
  <si>
    <t>JE202600223</t>
  </si>
  <si>
    <t>Payment - FastShip Courier - INV2026479</t>
  </si>
  <si>
    <t>REF21954</t>
  </si>
  <si>
    <t>JE202600224</t>
  </si>
  <si>
    <t>Payment - Apex Industrial Supply - INV2026932</t>
  </si>
  <si>
    <t>REF35674</t>
  </si>
  <si>
    <t>JE202600225</t>
  </si>
  <si>
    <t>Receipt - Theta Corp - SI2026930</t>
  </si>
  <si>
    <t>REF71655</t>
  </si>
  <si>
    <t>JE202600226</t>
  </si>
  <si>
    <t>Payment - Premium Steel Inc - INV2026690</t>
  </si>
  <si>
    <t>REF79452</t>
  </si>
  <si>
    <t>JE202600227</t>
  </si>
  <si>
    <t>PAY99332</t>
  </si>
  <si>
    <t>JE202600228</t>
  </si>
  <si>
    <t>Receipt - Iota Industries - SI2026964</t>
  </si>
  <si>
    <t>REF82822</t>
  </si>
  <si>
    <t>JE202600229</t>
  </si>
  <si>
    <t>Receipt - Acme Corporation - SI2026585</t>
  </si>
  <si>
    <t>REF75575</t>
  </si>
  <si>
    <t>JE202600230</t>
  </si>
  <si>
    <t>Receipt - Gamma Tech - SI2026307</t>
  </si>
  <si>
    <t>REF51325</t>
  </si>
  <si>
    <t>JE202600231</t>
  </si>
  <si>
    <t>EXP47220</t>
  </si>
  <si>
    <t>JE202600232</t>
  </si>
  <si>
    <t>EXP97676</t>
  </si>
  <si>
    <t>JE202600233</t>
  </si>
  <si>
    <t>Receipt - Epsilon Engineering - SI2026059</t>
  </si>
  <si>
    <t>REF66665</t>
  </si>
  <si>
    <t>JE202600234</t>
  </si>
  <si>
    <t>PAY57189</t>
  </si>
  <si>
    <t>JE202600235</t>
  </si>
  <si>
    <t>Receipt - Zeta Automation - SI2026606</t>
  </si>
  <si>
    <t>REF49614</t>
  </si>
  <si>
    <t>JE202600236</t>
  </si>
  <si>
    <t>EXP17565</t>
  </si>
  <si>
    <t>JE202600237</t>
  </si>
  <si>
    <t>PAY80737</t>
  </si>
  <si>
    <t>JE202600238</t>
  </si>
  <si>
    <t>Receipt - Delta Manufacturing - SI2026301</t>
  </si>
  <si>
    <t>REF56064</t>
  </si>
  <si>
    <t>JE202600239</t>
  </si>
  <si>
    <t>Payment - Singapore Telecom - INV2026987</t>
  </si>
  <si>
    <t>REF67647</t>
  </si>
  <si>
    <t>JE202600240</t>
  </si>
  <si>
    <t>EXP12233</t>
  </si>
  <si>
    <t>17-03-2026</t>
  </si>
  <si>
    <t>JE202600241</t>
  </si>
  <si>
    <t>Payment - Singapore Telecom - INV2026169</t>
  </si>
  <si>
    <t>REF90929</t>
  </si>
  <si>
    <t>JE202600242</t>
  </si>
  <si>
    <t>Payment - Allied Manufacturing - INV2026668</t>
  </si>
  <si>
    <t>REF53674</t>
  </si>
  <si>
    <t>JE202600243</t>
  </si>
  <si>
    <t>EXP28648</t>
  </si>
  <si>
    <t>JE202600244</t>
  </si>
  <si>
    <t>Payment - Singapore Telecom - INV2026658</t>
  </si>
  <si>
    <t>REF62651</t>
  </si>
  <si>
    <t>JE202600245</t>
  </si>
  <si>
    <t>EXP13928</t>
  </si>
  <si>
    <t>JE202600246</t>
  </si>
  <si>
    <t>Receipt - Kappa Solutions - SI2026740</t>
  </si>
  <si>
    <t>REF49958</t>
  </si>
  <si>
    <t>JE202600247</t>
  </si>
  <si>
    <t>Adjustment Entry - R&amp;D</t>
  </si>
  <si>
    <t>ADJ94767</t>
  </si>
  <si>
    <t>JE202600248</t>
  </si>
  <si>
    <t>Receipt - Zeta Automation - SI2026588</t>
  </si>
  <si>
    <t>REF37899</t>
  </si>
  <si>
    <t>JE202600249</t>
  </si>
  <si>
    <t>Receipt - Zeta Automation - SI2026845</t>
  </si>
  <si>
    <t>REF95489</t>
  </si>
  <si>
    <t>JE202600250</t>
  </si>
  <si>
    <t>Receipt - Gamma Tech - SI2026471</t>
  </si>
  <si>
    <t>REF75755</t>
  </si>
  <si>
    <t>JE202600251</t>
  </si>
  <si>
    <t>Payment - TechParts Co - INV2026266</t>
  </si>
  <si>
    <t>REF23707</t>
  </si>
  <si>
    <t>JE202600252</t>
  </si>
  <si>
    <t>ADJ49479</t>
  </si>
  <si>
    <t>JE202600253</t>
  </si>
  <si>
    <t>Receipt - Kappa Solutions - SI2026803</t>
  </si>
  <si>
    <t>REF65149</t>
  </si>
  <si>
    <t>JE202600254</t>
  </si>
  <si>
    <t>Payment - Office Solutions - INV2026747</t>
  </si>
  <si>
    <t>REF16026</t>
  </si>
  <si>
    <t>JE202600255</t>
  </si>
  <si>
    <t>PAY30302</t>
  </si>
  <si>
    <t>JE202600256</t>
  </si>
  <si>
    <t>Receipt - Epsilon Engineering - SI2026909</t>
  </si>
  <si>
    <t>REF70376</t>
  </si>
  <si>
    <t>JE202600257</t>
  </si>
  <si>
    <t>Professional Services - Sales</t>
  </si>
  <si>
    <t>EXP81087</t>
  </si>
  <si>
    <t>JE202600258</t>
  </si>
  <si>
    <t>EXP76054</t>
  </si>
  <si>
    <t>JE202600259</t>
  </si>
  <si>
    <t>Payment - Premium Steel Inc - INV2026432</t>
  </si>
  <si>
    <t>REF71143</t>
  </si>
  <si>
    <t>JE202600260</t>
  </si>
  <si>
    <t>Receipt - Theta Corp - SI2026249</t>
  </si>
  <si>
    <t>REF69669</t>
  </si>
  <si>
    <t>JE202600261</t>
  </si>
  <si>
    <t>JE202600262</t>
  </si>
  <si>
    <t>Receipt - Acme Corporation - SI2026185</t>
  </si>
  <si>
    <t>REF77857</t>
  </si>
  <si>
    <t>JE202600263</t>
  </si>
  <si>
    <t>Receipt - Epsilon Engineering - SI2026770</t>
  </si>
  <si>
    <t>REF65307</t>
  </si>
  <si>
    <t>JE202600264</t>
  </si>
  <si>
    <t>Receipt - Iota Industries - SI2026107</t>
  </si>
  <si>
    <t>REF89278</t>
  </si>
  <si>
    <t>JE202600265</t>
  </si>
  <si>
    <t>EXP40662</t>
  </si>
  <si>
    <t>JE202600266</t>
  </si>
  <si>
    <t>Professional Services - R&amp;D</t>
  </si>
  <si>
    <t>EXP76146</t>
  </si>
  <si>
    <t>JE202600267</t>
  </si>
  <si>
    <t>Payment - FastShip Courier - INV2026031</t>
  </si>
  <si>
    <t>REF96531</t>
  </si>
  <si>
    <t>JE202600268</t>
  </si>
  <si>
    <t>ADJ73752</t>
  </si>
  <si>
    <t>JE202600269</t>
  </si>
  <si>
    <t>Utilities - Operations</t>
  </si>
  <si>
    <t>EXP48843</t>
  </si>
  <si>
    <t>JE202600270</t>
  </si>
  <si>
    <t>Receipt - Delta Manufacturing - SI2026664</t>
  </si>
  <si>
    <t>REF59823</t>
  </si>
  <si>
    <t>JE202600271</t>
  </si>
  <si>
    <t>Payment - TechParts Co - INV2026042</t>
  </si>
  <si>
    <t>REF49068</t>
  </si>
  <si>
    <t>JE202600272</t>
  </si>
  <si>
    <t>Receipt - Beta Industries - SI2026200</t>
  </si>
  <si>
    <t>REF28097</t>
  </si>
  <si>
    <t>JE202600273</t>
  </si>
  <si>
    <t>Payment - TechParts Co - INV2026049</t>
  </si>
  <si>
    <t>REF37234</t>
  </si>
  <si>
    <t>JE202600274</t>
  </si>
  <si>
    <t>Payment - Singapore Telecom - INV2026587</t>
  </si>
  <si>
    <t>REF60482</t>
  </si>
  <si>
    <t>JE202600275</t>
  </si>
  <si>
    <t>EXP61581</t>
  </si>
  <si>
    <t>JE202600276</t>
  </si>
  <si>
    <t>Receipt - Delta Manufacturing - SI2026469</t>
  </si>
  <si>
    <t>REF96543</t>
  </si>
  <si>
    <t>JE202600277</t>
  </si>
  <si>
    <t>Receipt - Epsilon Engineering - SI2026873</t>
  </si>
  <si>
    <t>REF21895</t>
  </si>
  <si>
    <t>JE202600278</t>
  </si>
  <si>
    <t>ADJ37490</t>
  </si>
  <si>
    <t>JE202600279</t>
  </si>
  <si>
    <t>Receipt - Theta Corp - SI2026160</t>
  </si>
  <si>
    <t>REF23484</t>
  </si>
  <si>
    <t>JE202600280</t>
  </si>
  <si>
    <t>EXP67736</t>
  </si>
  <si>
    <t>JE202600281</t>
  </si>
  <si>
    <t>Payment - Allied Manufacturing - INV2026574</t>
  </si>
  <si>
    <t>REF32084</t>
  </si>
  <si>
    <t>JE202600282</t>
  </si>
  <si>
    <t>Receipt - Gamma Tech - SI2026397</t>
  </si>
  <si>
    <t>REF51986</t>
  </si>
  <si>
    <t>JE202600283</t>
  </si>
  <si>
    <t>Payment - Utility Power Corp - INV2026749</t>
  </si>
  <si>
    <t>REF60098</t>
  </si>
  <si>
    <t>JE202600284</t>
  </si>
  <si>
    <t>EXP14585</t>
  </si>
  <si>
    <t>JE202600285</t>
  </si>
  <si>
    <t>Adjustment Entry - Marketing</t>
  </si>
  <si>
    <t>ADJ22994</t>
  </si>
  <si>
    <t>JE202600286</t>
  </si>
  <si>
    <t>EXP56430</t>
  </si>
  <si>
    <t>JE202600287</t>
  </si>
  <si>
    <t>Payment - Office Solutions - INV2026107</t>
  </si>
  <si>
    <t>REF73991</t>
  </si>
  <si>
    <t>JE202600288</t>
  </si>
  <si>
    <t>Payment - Utility Power Corp - INV2026286</t>
  </si>
  <si>
    <t>REF25954</t>
  </si>
  <si>
    <t>JE202600289</t>
  </si>
  <si>
    <t>EXP39335</t>
  </si>
  <si>
    <t>JE202600290</t>
  </si>
  <si>
    <t>Receipt - Eta Systems - SI2026200</t>
  </si>
  <si>
    <t>REF72912</t>
  </si>
  <si>
    <t>JE202600291</t>
  </si>
  <si>
    <t>PAY50458</t>
  </si>
  <si>
    <t>JE202600292</t>
  </si>
  <si>
    <t>Payment - Premium Steel Inc - INV2026092</t>
  </si>
  <si>
    <t>REF77977</t>
  </si>
  <si>
    <t>JE202600293</t>
  </si>
  <si>
    <t>Receipt - Zeta Automation - SI2026405</t>
  </si>
  <si>
    <t>REF62963</t>
  </si>
  <si>
    <t>JE202600294</t>
  </si>
  <si>
    <t>Receipt - Kappa Solutions - SI2026979</t>
  </si>
  <si>
    <t>REF53366</t>
  </si>
  <si>
    <t>JE202600295</t>
  </si>
  <si>
    <t>Payment - Premium Steel Inc - INV2026199</t>
  </si>
  <si>
    <t>REF23909</t>
  </si>
  <si>
    <t>JE202600296</t>
  </si>
  <si>
    <t>EXP27351</t>
  </si>
  <si>
    <t>JE202600297</t>
  </si>
  <si>
    <t>Payment - Global Logistics Ltd - INV2026402</t>
  </si>
  <si>
    <t>REF89186</t>
  </si>
  <si>
    <t>JE202600298</t>
  </si>
  <si>
    <t>Receipt - Acme Corporation - SI2026322</t>
  </si>
  <si>
    <t>REF25120</t>
  </si>
  <si>
    <t>JE202600299</t>
  </si>
  <si>
    <t>Payment - Global Logistics Ltd - INV2026301</t>
  </si>
  <si>
    <t>REF97159</t>
  </si>
  <si>
    <t>JE202600300</t>
  </si>
  <si>
    <t>Receipt - Acme Corporation - SI2026198</t>
  </si>
  <si>
    <t>REF30164</t>
  </si>
  <si>
    <t>JE202600301</t>
  </si>
  <si>
    <t>Receipt - Eta Systems - SI2026456</t>
  </si>
  <si>
    <t>REF22976</t>
  </si>
  <si>
    <t>JE202600302</t>
  </si>
  <si>
    <t>EXP70378</t>
  </si>
  <si>
    <t>JE202600303</t>
  </si>
  <si>
    <t>Payment - Utility Power Corp - INV2026547</t>
  </si>
  <si>
    <t>REF41468</t>
  </si>
  <si>
    <t>JE202600304</t>
  </si>
  <si>
    <t>EXP55087</t>
  </si>
  <si>
    <t>JE202600305</t>
  </si>
  <si>
    <t>Travel Expense - Quality</t>
  </si>
  <si>
    <t>EXP90941</t>
  </si>
  <si>
    <t>JE202600306</t>
  </si>
  <si>
    <t>ADJ21166</t>
  </si>
  <si>
    <t>JE202600307</t>
  </si>
  <si>
    <t>EXP11286</t>
  </si>
  <si>
    <t>JE202600308</t>
  </si>
  <si>
    <t>Receipt - Kappa Solutions - SI2026666</t>
  </si>
  <si>
    <t>REF49496</t>
  </si>
  <si>
    <t>JE202600309</t>
  </si>
  <si>
    <t>Utilities - IT</t>
  </si>
  <si>
    <t>EXP41506</t>
  </si>
  <si>
    <t>JE202600310</t>
  </si>
  <si>
    <t>Payment - Utility Power Corp - INV2026793</t>
  </si>
  <si>
    <t>REF13329</t>
  </si>
  <si>
    <t>JE202600311</t>
  </si>
  <si>
    <t>Utilities - Marketing</t>
  </si>
  <si>
    <t>EXP81851</t>
  </si>
  <si>
    <t>JE202600312</t>
  </si>
  <si>
    <t>Receipt - Eta Systems - SI2026865</t>
  </si>
  <si>
    <t>REF59145</t>
  </si>
  <si>
    <t>JE202600313</t>
  </si>
  <si>
    <t>Payment - TechParts Co - INV2026926</t>
  </si>
  <si>
    <t>REF66464</t>
  </si>
  <si>
    <t>JE202600314</t>
  </si>
  <si>
    <t>EXP29555</t>
  </si>
  <si>
    <t>JE202600315</t>
  </si>
  <si>
    <t>Receipt - Delta Manufacturing - SI2026583</t>
  </si>
  <si>
    <t>REF12192</t>
  </si>
  <si>
    <t>JE202600316</t>
  </si>
  <si>
    <t>Payment - TechParts Co - INV2026692</t>
  </si>
  <si>
    <t>REF95115</t>
  </si>
  <si>
    <t>JE202600317</t>
  </si>
  <si>
    <t>PAY70190</t>
  </si>
  <si>
    <t>JE202600318</t>
  </si>
  <si>
    <t>Payment - Allied Manufacturing - INV2026482</t>
  </si>
  <si>
    <t>REF94638</t>
  </si>
  <si>
    <t>JE202600319</t>
  </si>
  <si>
    <t>Payment - Premium Steel Inc - INV2026191</t>
  </si>
  <si>
    <t>REF66676</t>
  </si>
  <si>
    <t>JE202600320</t>
  </si>
  <si>
    <t>Receipt - Delta Manufacturing - SI2026284</t>
  </si>
  <si>
    <t>REF64568</t>
  </si>
  <si>
    <t>JE202600321</t>
  </si>
  <si>
    <t>JE202600322</t>
  </si>
  <si>
    <t>Payment - Global Logistics Ltd - INV2026808</t>
  </si>
  <si>
    <t>REF29573</t>
  </si>
  <si>
    <t>JE202600323</t>
  </si>
  <si>
    <t>PAY88580</t>
  </si>
  <si>
    <t>JE202600324</t>
  </si>
  <si>
    <t>Payment - Utility Power Corp - INV2026070</t>
  </si>
  <si>
    <t>REF76289</t>
  </si>
  <si>
    <t>JE202600325</t>
  </si>
  <si>
    <t>Payment - Global Logistics Ltd - INV2026149</t>
  </si>
  <si>
    <t>REF12382</t>
  </si>
  <si>
    <t>JE202600326</t>
  </si>
  <si>
    <t>EXP86881</t>
  </si>
  <si>
    <t>JE202600327</t>
  </si>
  <si>
    <t>ADJ34671</t>
  </si>
  <si>
    <t>JE202600328</t>
  </si>
  <si>
    <t>ADJ99632</t>
  </si>
  <si>
    <t>JE202600329</t>
  </si>
  <si>
    <t>EXP29581</t>
  </si>
  <si>
    <t>JE202600330</t>
  </si>
  <si>
    <t>Receipt - Delta Manufacturing - SI2026447</t>
  </si>
  <si>
    <t>REF14001</t>
  </si>
  <si>
    <t>JE202600331</t>
  </si>
  <si>
    <t>PAY43772</t>
  </si>
  <si>
    <t>JE202600332</t>
  </si>
  <si>
    <t>Payment - Singapore Telecom - INV2026650</t>
  </si>
  <si>
    <t>REF50676</t>
  </si>
  <si>
    <t>JE202600333</t>
  </si>
  <si>
    <t>Receipt - Epsilon Engineering - SI2026927</t>
  </si>
  <si>
    <t>REF52005</t>
  </si>
  <si>
    <t>JE202600334</t>
  </si>
  <si>
    <t>Payment - Office Solutions - INV2026846</t>
  </si>
  <si>
    <t>REF84138</t>
  </si>
  <si>
    <t>JE202600335</t>
  </si>
  <si>
    <t>EXP27165</t>
  </si>
  <si>
    <t>JE202600336</t>
  </si>
  <si>
    <t>EXP24228</t>
  </si>
  <si>
    <t>JE202600337</t>
  </si>
  <si>
    <t>Payment - Delta Components - INV2026079</t>
  </si>
  <si>
    <t>REF39994</t>
  </si>
  <si>
    <t>JE202600338</t>
  </si>
  <si>
    <t>Marketing - R&amp;D</t>
  </si>
  <si>
    <t>EXP40713</t>
  </si>
  <si>
    <t>JE202600339</t>
  </si>
  <si>
    <t>Payment - Premium Steel Inc - INV2026952</t>
  </si>
  <si>
    <t>REF88482</t>
  </si>
  <si>
    <t>JE202600340</t>
  </si>
  <si>
    <t>PAY39939</t>
  </si>
  <si>
    <t>JE202600341</t>
  </si>
  <si>
    <t>EXP55115</t>
  </si>
  <si>
    <t>JE202600342</t>
  </si>
  <si>
    <t>EXP92853</t>
  </si>
  <si>
    <t>JE202600343</t>
  </si>
  <si>
    <t>PAY55578</t>
  </si>
  <si>
    <t>JE202600344</t>
  </si>
  <si>
    <t>Receipt - Acme Corporation - SI2026580</t>
  </si>
  <si>
    <t>REF98252</t>
  </si>
  <si>
    <t>JE202600345</t>
  </si>
  <si>
    <t>Payment - TechParts Co - INV2026019</t>
  </si>
  <si>
    <t>REF49389</t>
  </si>
  <si>
    <t>JE202600346</t>
  </si>
  <si>
    <t>Receipt - Beta Industries - SI2026045</t>
  </si>
  <si>
    <t>REF67930</t>
  </si>
  <si>
    <t>JE202600347</t>
  </si>
  <si>
    <t>EXP44735</t>
  </si>
  <si>
    <t>JE202600348</t>
  </si>
  <si>
    <t>Payment - Premium Steel Inc - INV2026590</t>
  </si>
  <si>
    <t>REF57636</t>
  </si>
  <si>
    <t>JE202600349</t>
  </si>
  <si>
    <t>Travel Expense - R&amp;D</t>
  </si>
  <si>
    <t>EXP82033</t>
  </si>
  <si>
    <t>JE202600350</t>
  </si>
  <si>
    <t>Payment - Delta Components - INV2026564</t>
  </si>
  <si>
    <t>REF64532</t>
  </si>
  <si>
    <t>JE202600351</t>
  </si>
  <si>
    <t>Payment - Utility Power Corp - INV2026502</t>
  </si>
  <si>
    <t>REF78268</t>
  </si>
  <si>
    <t>JE202600352</t>
  </si>
  <si>
    <t>Receipt - Eta Systems - SI2026736</t>
  </si>
  <si>
    <t>REF32889</t>
  </si>
  <si>
    <t>JE202600353</t>
  </si>
  <si>
    <t>Receipt - Theta Corp - SI2026016</t>
  </si>
  <si>
    <t>REF89380</t>
  </si>
  <si>
    <t>JE202600354</t>
  </si>
  <si>
    <t>Payment - Office Solutions - INV2026318</t>
  </si>
  <si>
    <t>REF16469</t>
  </si>
  <si>
    <t>JE202600355</t>
  </si>
  <si>
    <t>Receipt - Kappa Solutions - SI2026668</t>
  </si>
  <si>
    <t>REF44600</t>
  </si>
  <si>
    <t>JE202600356</t>
  </si>
  <si>
    <t>Payment - Singapore Telecom - INV2026769</t>
  </si>
  <si>
    <t>REF32989</t>
  </si>
  <si>
    <t>JE202600357</t>
  </si>
  <si>
    <t>Receipt - Gamma Tech - SI2026128</t>
  </si>
  <si>
    <t>REF54233</t>
  </si>
  <si>
    <t>JE202600358</t>
  </si>
  <si>
    <t>PAY49537</t>
  </si>
  <si>
    <t>JE202600359</t>
  </si>
  <si>
    <t>Receipt - Gamma Tech - SI2026228</t>
  </si>
  <si>
    <t>REF54979</t>
  </si>
  <si>
    <t>JE202600360</t>
  </si>
  <si>
    <t>Payment - Global Logistics Ltd - INV2026057</t>
  </si>
  <si>
    <t>REF24456</t>
  </si>
  <si>
    <t>18-04-2026</t>
  </si>
  <si>
    <t>JE202600361</t>
  </si>
  <si>
    <t>ADJ37899</t>
  </si>
  <si>
    <t>JE202600362</t>
  </si>
  <si>
    <t>Receipt - Epsilon Engineering - SI2026190</t>
  </si>
  <si>
    <t>REF70631</t>
  </si>
  <si>
    <t>JE202600363</t>
  </si>
  <si>
    <t>EXP24409</t>
  </si>
  <si>
    <t>JE202600364</t>
  </si>
  <si>
    <t>EXP75498</t>
  </si>
  <si>
    <t>JE202600365</t>
  </si>
  <si>
    <t>ADJ49065</t>
  </si>
  <si>
    <t>JE202600366</t>
  </si>
  <si>
    <t>Payment - Apex Industrial Supply - INV2026716</t>
  </si>
  <si>
    <t>REF26347</t>
  </si>
  <si>
    <t>JE202600367</t>
  </si>
  <si>
    <t>Payment - Apex Industrial Supply - INV2026132</t>
  </si>
  <si>
    <t>REF18234</t>
  </si>
  <si>
    <t>JE202600368</t>
  </si>
  <si>
    <t>PAY93334</t>
  </si>
  <si>
    <t>JE202600369</t>
  </si>
  <si>
    <t>PAY78024</t>
  </si>
  <si>
    <t>JE202600370</t>
  </si>
  <si>
    <t>Payment - Utility Power Corp - INV2026482</t>
  </si>
  <si>
    <t>REF46475</t>
  </si>
  <si>
    <t>JE202600371</t>
  </si>
  <si>
    <t>Payment - Allied Manufacturing - INV2026282</t>
  </si>
  <si>
    <t>REF69119</t>
  </si>
  <si>
    <t>JE202600372</t>
  </si>
  <si>
    <t>Payment - Apex Industrial Supply - INV2026928</t>
  </si>
  <si>
    <t>REF89226</t>
  </si>
  <si>
    <t>JE202600373</t>
  </si>
  <si>
    <t>PAY22431</t>
  </si>
  <si>
    <t>JE202600374</t>
  </si>
  <si>
    <t>PAY56832</t>
  </si>
  <si>
    <t>JE202600375</t>
  </si>
  <si>
    <t>EXP89740</t>
  </si>
  <si>
    <t>JE202600376</t>
  </si>
  <si>
    <t>PAY26076</t>
  </si>
  <si>
    <t>JE202600377</t>
  </si>
  <si>
    <t>EXP56182</t>
  </si>
  <si>
    <t>JE202600378</t>
  </si>
  <si>
    <t>EXP11676</t>
  </si>
  <si>
    <t>JE202600379</t>
  </si>
  <si>
    <t>Payment - TechParts Co - INV2026565</t>
  </si>
  <si>
    <t>REF23985</t>
  </si>
  <si>
    <t>JE202600380</t>
  </si>
  <si>
    <t>EXP18523</t>
  </si>
  <si>
    <t>JE202600381</t>
  </si>
  <si>
    <t>Payment - Utility Power Corp - INV2026841</t>
  </si>
  <si>
    <t>JE202600382</t>
  </si>
  <si>
    <t>EXP39996</t>
  </si>
  <si>
    <t>JE202600383</t>
  </si>
  <si>
    <t>EXP48099</t>
  </si>
  <si>
    <t>JE202600384</t>
  </si>
  <si>
    <t>Payment - TechParts Co - INV2026513</t>
  </si>
  <si>
    <t>REF37040</t>
  </si>
  <si>
    <t>JE202600385</t>
  </si>
  <si>
    <t>EXP18954</t>
  </si>
  <si>
    <t>JE202600386</t>
  </si>
  <si>
    <t>Receipt - Zeta Automation - SI2026296</t>
  </si>
  <si>
    <t>REF18405</t>
  </si>
  <si>
    <t>JE202600387</t>
  </si>
  <si>
    <t>EXP83930</t>
  </si>
  <si>
    <t>JE202600388</t>
  </si>
  <si>
    <t>Receipt - Theta Corp - SI2026956</t>
  </si>
  <si>
    <t>REF39703</t>
  </si>
  <si>
    <t>JE202600389</t>
  </si>
  <si>
    <t>Receipt - Epsilon Engineering - SI2026627</t>
  </si>
  <si>
    <t>REF87388</t>
  </si>
  <si>
    <t>JE202600390</t>
  </si>
  <si>
    <t>Payment - Allied Manufacturing - INV2026459</t>
  </si>
  <si>
    <t>REF99136</t>
  </si>
  <si>
    <t>JE202600391</t>
  </si>
  <si>
    <t>EXP21976</t>
  </si>
  <si>
    <t>JE202600392</t>
  </si>
  <si>
    <t>ADJ80402</t>
  </si>
  <si>
    <t>JE202600393</t>
  </si>
  <si>
    <t>Professional Services - HR</t>
  </si>
  <si>
    <t>EXP57348</t>
  </si>
  <si>
    <t>JE202600394</t>
  </si>
  <si>
    <t>Marketing - Quality</t>
  </si>
  <si>
    <t>EXP99921</t>
  </si>
  <si>
    <t>JE202600395</t>
  </si>
  <si>
    <t>Receipt - Epsilon Engineering - SI2026602</t>
  </si>
  <si>
    <t>REF63934</t>
  </si>
  <si>
    <t>JE202600396</t>
  </si>
  <si>
    <t>Payment - Singapore Telecom - INV2026766</t>
  </si>
  <si>
    <t>REF29660</t>
  </si>
  <si>
    <t>JE202600397</t>
  </si>
  <si>
    <t>Payment - Utility Power Corp - INV2026803</t>
  </si>
  <si>
    <t>REF54195</t>
  </si>
  <si>
    <t>JE202600398</t>
  </si>
  <si>
    <t>Receipt - Kappa Solutions - SI2026239</t>
  </si>
  <si>
    <t>REF55583</t>
  </si>
  <si>
    <t>JE202600399</t>
  </si>
  <si>
    <t>PAY72100</t>
  </si>
  <si>
    <t>JE202600400</t>
  </si>
  <si>
    <t>EXP95655</t>
  </si>
  <si>
    <t>JE202600405</t>
  </si>
  <si>
    <t>JE202600488</t>
  </si>
  <si>
    <t>Invoice No</t>
  </si>
  <si>
    <t>Vendor</t>
  </si>
  <si>
    <t>Invoice Date</t>
  </si>
  <si>
    <t>Due Date</t>
  </si>
  <si>
    <t>Purchase Order No</t>
  </si>
  <si>
    <t>Payment Date</t>
  </si>
  <si>
    <t>INV2026001</t>
  </si>
  <si>
    <t>Global Logistics Ltd</t>
  </si>
  <si>
    <t>INV2026002</t>
  </si>
  <si>
    <t>FastShip Courier</t>
  </si>
  <si>
    <t>PO20260174</t>
  </si>
  <si>
    <t>INV2026003</t>
  </si>
  <si>
    <t>Office Solutions</t>
  </si>
  <si>
    <t>PO20260050</t>
  </si>
  <si>
    <t>Disputed</t>
  </si>
  <si>
    <t>INV2026004</t>
  </si>
  <si>
    <t>Utility Power Corp</t>
  </si>
  <si>
    <t>PO20260039</t>
  </si>
  <si>
    <t>INV2026005</t>
  </si>
  <si>
    <t>Premium Steel Inc</t>
  </si>
  <si>
    <t>PO20260169</t>
  </si>
  <si>
    <t>Overdue</t>
  </si>
  <si>
    <t>INV2026006</t>
  </si>
  <si>
    <t>PO20260293</t>
  </si>
  <si>
    <t>INV2026007</t>
  </si>
  <si>
    <t>Precision Tools Inc</t>
  </si>
  <si>
    <t>PO20260457</t>
  </si>
  <si>
    <t>INV2026008</t>
  </si>
  <si>
    <t>Industrial Chemicals Ltd</t>
  </si>
  <si>
    <t>PO20260160</t>
  </si>
  <si>
    <t>Partial</t>
  </si>
  <si>
    <t>INV2026009</t>
  </si>
  <si>
    <t>TechParts Co</t>
  </si>
  <si>
    <t>PO20260098</t>
  </si>
  <si>
    <t>Paid</t>
  </si>
  <si>
    <t>INV2026010</t>
  </si>
  <si>
    <t>Singapore Telecom</t>
  </si>
  <si>
    <t>PO20260351</t>
  </si>
  <si>
    <t>INV2026011</t>
  </si>
  <si>
    <t>PO20260364</t>
  </si>
  <si>
    <t>INV2026012</t>
  </si>
  <si>
    <t>INV2026013</t>
  </si>
  <si>
    <t>PO20260083</t>
  </si>
  <si>
    <t>INV2026014</t>
  </si>
  <si>
    <t>Pacific Trading</t>
  </si>
  <si>
    <t>PO20260478</t>
  </si>
  <si>
    <t>INV2026015</t>
  </si>
  <si>
    <t>Delta Components</t>
  </si>
  <si>
    <t>PO20260429</t>
  </si>
  <si>
    <t>INV2026016</t>
  </si>
  <si>
    <t>PO20260460</t>
  </si>
  <si>
    <t>INV2026017</t>
  </si>
  <si>
    <t>PO20260147</t>
  </si>
  <si>
    <t>INV2026018</t>
  </si>
  <si>
    <t>Apex Industrial Supply</t>
  </si>
  <si>
    <t>PO20260046</t>
  </si>
  <si>
    <t>INV2026019</t>
  </si>
  <si>
    <t>PO20260333</t>
  </si>
  <si>
    <t>INV2026020</t>
  </si>
  <si>
    <t>PO20260226</t>
  </si>
  <si>
    <t>INV2026021</t>
  </si>
  <si>
    <t>Allied Manufacturing</t>
  </si>
  <si>
    <t>PO20260033</t>
  </si>
  <si>
    <t>INV2026022</t>
  </si>
  <si>
    <t>PO20260315</t>
  </si>
  <si>
    <t>INV2026023</t>
  </si>
  <si>
    <t>Safety Equipment Co</t>
  </si>
  <si>
    <t>PO20260107</t>
  </si>
  <si>
    <t>INV2026024</t>
  </si>
  <si>
    <t>PO20260476</t>
  </si>
  <si>
    <t>INV2026025</t>
  </si>
  <si>
    <t>PO20260278</t>
  </si>
  <si>
    <t>INV2026026</t>
  </si>
  <si>
    <t>INV2026027</t>
  </si>
  <si>
    <t>Metro Services</t>
  </si>
  <si>
    <t>PO20260344</t>
  </si>
  <si>
    <t>INV2026028</t>
  </si>
  <si>
    <t>PO20260100</t>
  </si>
  <si>
    <t>INV2026029</t>
  </si>
  <si>
    <t>PO20260494</t>
  </si>
  <si>
    <t>INV2026030</t>
  </si>
  <si>
    <t>INV2026031</t>
  </si>
  <si>
    <t>PO20260078</t>
  </si>
  <si>
    <t>INV2026032</t>
  </si>
  <si>
    <t>PO20260144</t>
  </si>
  <si>
    <t>INV2026033</t>
  </si>
  <si>
    <t>PO20260458</t>
  </si>
  <si>
    <t>INV2026034</t>
  </si>
  <si>
    <t>PO20260062</t>
  </si>
  <si>
    <t>INV2026035</t>
  </si>
  <si>
    <t>PO20260405</t>
  </si>
  <si>
    <t>INV2026036</t>
  </si>
  <si>
    <t>17/1/2026</t>
  </si>
  <si>
    <t>PO20260077</t>
  </si>
  <si>
    <t>INV2026037</t>
  </si>
  <si>
    <t>PO20260156</t>
  </si>
  <si>
    <t>INV2026038</t>
  </si>
  <si>
    <t>PO20260012</t>
  </si>
  <si>
    <t>INV2026039</t>
  </si>
  <si>
    <t>PO20260420</t>
  </si>
  <si>
    <t>INV2026040</t>
  </si>
  <si>
    <t>PO20260359</t>
  </si>
  <si>
    <t>INV2026041</t>
  </si>
  <si>
    <t>PO20260246</t>
  </si>
  <si>
    <t>INV2026042</t>
  </si>
  <si>
    <t>PO20260376</t>
  </si>
  <si>
    <t>INV2026043</t>
  </si>
  <si>
    <t>PO20260417</t>
  </si>
  <si>
    <t>INV2026044</t>
  </si>
  <si>
    <t>PO20260283</t>
  </si>
  <si>
    <t>INV2026045</t>
  </si>
  <si>
    <t>PO20260426</t>
  </si>
  <si>
    <t>INV2026046</t>
  </si>
  <si>
    <t>PO20260292</t>
  </si>
  <si>
    <t>INV2026047</t>
  </si>
  <si>
    <t>PO20260076</t>
  </si>
  <si>
    <t>INV2026048</t>
  </si>
  <si>
    <t>PO20260227</t>
  </si>
  <si>
    <t>INV2026049</t>
  </si>
  <si>
    <t>PO20260178</t>
  </si>
  <si>
    <t>INV2026050</t>
  </si>
  <si>
    <t>PO20260181</t>
  </si>
  <si>
    <t>INV2026052</t>
  </si>
  <si>
    <t>PO20260182</t>
  </si>
  <si>
    <t>INV2026053</t>
  </si>
  <si>
    <t>PO20260280</t>
  </si>
  <si>
    <t>INV2026054</t>
  </si>
  <si>
    <t>PO20260073</t>
  </si>
  <si>
    <t>INV2026055</t>
  </si>
  <si>
    <t>INV2026056</t>
  </si>
  <si>
    <t>PO20260196</t>
  </si>
  <si>
    <t>INV2026057</t>
  </si>
  <si>
    <t>PO20260247</t>
  </si>
  <si>
    <t>INV2026058</t>
  </si>
  <si>
    <t>PO20260020</t>
  </si>
  <si>
    <t>INV2026059</t>
  </si>
  <si>
    <t>PO20260487</t>
  </si>
  <si>
    <t>INV2026060</t>
  </si>
  <si>
    <t>PO20260249</t>
  </si>
  <si>
    <t>INV2026061</t>
  </si>
  <si>
    <t>PO20260195</t>
  </si>
  <si>
    <t>INV2026062</t>
  </si>
  <si>
    <t>PO20260285</t>
  </si>
  <si>
    <t>INV2026063</t>
  </si>
  <si>
    <t>PO20260416</t>
  </si>
  <si>
    <t>INV2026064</t>
  </si>
  <si>
    <t>PO20260362</t>
  </si>
  <si>
    <t>INV2026065</t>
  </si>
  <si>
    <t>PO20260450</t>
  </si>
  <si>
    <t>INV2026066</t>
  </si>
  <si>
    <t>PO20260425</t>
  </si>
  <si>
    <t>INV2026067</t>
  </si>
  <si>
    <t>PO20260319</t>
  </si>
  <si>
    <t>INV2026068</t>
  </si>
  <si>
    <t>INV2026069</t>
  </si>
  <si>
    <t>PO20260140</t>
  </si>
  <si>
    <t>INV2026070</t>
  </si>
  <si>
    <t>PO20260117</t>
  </si>
  <si>
    <t>INV2026071</t>
  </si>
  <si>
    <t>24/2/2026</t>
  </si>
  <si>
    <t>PO20260445</t>
  </si>
  <si>
    <t>INV2026072</t>
  </si>
  <si>
    <t>PO20260414</t>
  </si>
  <si>
    <t>INV2026073</t>
  </si>
  <si>
    <t>PO20260259</t>
  </si>
  <si>
    <t>INV2026074</t>
  </si>
  <si>
    <t>PO20260089</t>
  </si>
  <si>
    <t>INV2026075</t>
  </si>
  <si>
    <t>PO20260248</t>
  </si>
  <si>
    <t>INV2026076</t>
  </si>
  <si>
    <t>INV2026077</t>
  </si>
  <si>
    <t>INV2026078</t>
  </si>
  <si>
    <t>PO20260419</t>
  </si>
  <si>
    <t>INV2026079</t>
  </si>
  <si>
    <t>PO20260297</t>
  </si>
  <si>
    <t>INV2026080</t>
  </si>
  <si>
    <t>PO20260379</t>
  </si>
  <si>
    <t>INV2026081</t>
  </si>
  <si>
    <t>PO20260367</t>
  </si>
  <si>
    <t>INV2026082</t>
  </si>
  <si>
    <t>PO20260473</t>
  </si>
  <si>
    <t>INV2026083</t>
  </si>
  <si>
    <t>PO20260254</t>
  </si>
  <si>
    <t>INV2026084</t>
  </si>
  <si>
    <t>INV2026085</t>
  </si>
  <si>
    <t>PO20260306</t>
  </si>
  <si>
    <t>INV2026086</t>
  </si>
  <si>
    <t>PO20260407</t>
  </si>
  <si>
    <t>INV2026087</t>
  </si>
  <si>
    <t>PO20260209</t>
  </si>
  <si>
    <t>INV2026088</t>
  </si>
  <si>
    <t>PO20260452</t>
  </si>
  <si>
    <t>INV2026089</t>
  </si>
  <si>
    <t>PO20260275</t>
  </si>
  <si>
    <t>INV2026090</t>
  </si>
  <si>
    <t>INV2026091</t>
  </si>
  <si>
    <t>PO20260027</t>
  </si>
  <si>
    <t>INV2026092</t>
  </si>
  <si>
    <t>PO20260366</t>
  </si>
  <si>
    <t>INV2026093</t>
  </si>
  <si>
    <t>PO20260191</t>
  </si>
  <si>
    <t>INV2026094</t>
  </si>
  <si>
    <t>PO20260120</t>
  </si>
  <si>
    <t>INV2026095</t>
  </si>
  <si>
    <t>INV2026096</t>
  </si>
  <si>
    <t>PO20260277</t>
  </si>
  <si>
    <t>INV2026097</t>
  </si>
  <si>
    <t>PO20260240</t>
  </si>
  <si>
    <t>INV2026098</t>
  </si>
  <si>
    <t>PO20260475</t>
  </si>
  <si>
    <t>INV2026099</t>
  </si>
  <si>
    <t>PO20260034</t>
  </si>
  <si>
    <t>INV2026100</t>
  </si>
  <si>
    <t>PO20260002</t>
  </si>
  <si>
    <t>INV2026101</t>
  </si>
  <si>
    <t>INV2026102</t>
  </si>
  <si>
    <t>PO20260101</t>
  </si>
  <si>
    <t>INV2026103</t>
  </si>
  <si>
    <t>PO20260217</t>
  </si>
  <si>
    <t>INV2026104</t>
  </si>
  <si>
    <t>PO20260372</t>
  </si>
  <si>
    <t>INV2026105</t>
  </si>
  <si>
    <t>PO20260427</t>
  </si>
  <si>
    <t>INV2026106</t>
  </si>
  <si>
    <t>PO20260467</t>
  </si>
  <si>
    <t>INV2026107</t>
  </si>
  <si>
    <t>PO20260122</t>
  </si>
  <si>
    <t>INV2026108</t>
  </si>
  <si>
    <t>PO20260418</t>
  </si>
  <si>
    <t>INV2026109</t>
  </si>
  <si>
    <t>PO20260324</t>
  </si>
  <si>
    <t>INV2026110</t>
  </si>
  <si>
    <t>PO20260263</t>
  </si>
  <si>
    <t>INV2026111</t>
  </si>
  <si>
    <t>PO20260110</t>
  </si>
  <si>
    <t>INV2026112</t>
  </si>
  <si>
    <t>PO20260058</t>
  </si>
  <si>
    <t>INV2026113</t>
  </si>
  <si>
    <t>INV2026114</t>
  </si>
  <si>
    <t>INV2026115</t>
  </si>
  <si>
    <t>PO20260008</t>
  </si>
  <si>
    <t>INV2026116</t>
  </si>
  <si>
    <t>INV2026117</t>
  </si>
  <si>
    <t>INV2026118</t>
  </si>
  <si>
    <t>PO20260146</t>
  </si>
  <si>
    <t>INV2026119</t>
  </si>
  <si>
    <t>INV2026120</t>
  </si>
  <si>
    <t>PO20260441</t>
  </si>
  <si>
    <t>INV2026122</t>
  </si>
  <si>
    <t>INV2026123</t>
  </si>
  <si>
    <t>INV2026124</t>
  </si>
  <si>
    <t>PO20260336</t>
  </si>
  <si>
    <t>INV2026125</t>
  </si>
  <si>
    <t>INV2026126</t>
  </si>
  <si>
    <t>INV2026127</t>
  </si>
  <si>
    <t>PO20260356</t>
  </si>
  <si>
    <t>INV2026128</t>
  </si>
  <si>
    <t>INV2026129</t>
  </si>
  <si>
    <t>PO20260472</t>
  </si>
  <si>
    <t>INV2026130</t>
  </si>
  <si>
    <t>PO20260153</t>
  </si>
  <si>
    <t>INV2026131</t>
  </si>
  <si>
    <t>INV2026132</t>
  </si>
  <si>
    <t>PO20260353</t>
  </si>
  <si>
    <t>INV2026133</t>
  </si>
  <si>
    <t>PO20260054</t>
  </si>
  <si>
    <t>INV2026134</t>
  </si>
  <si>
    <t>PO20260134</t>
  </si>
  <si>
    <t>INV2026135</t>
  </si>
  <si>
    <t>PO20260375</t>
  </si>
  <si>
    <t>INV2026136</t>
  </si>
  <si>
    <t>PO20260194</t>
  </si>
  <si>
    <t>INV2026137</t>
  </si>
  <si>
    <t>INV2026138</t>
  </si>
  <si>
    <t>PO20260308</t>
  </si>
  <si>
    <t>INV2026139</t>
  </si>
  <si>
    <t>PO20260486</t>
  </si>
  <si>
    <t>INV2026140</t>
  </si>
  <si>
    <t>INV2026141</t>
  </si>
  <si>
    <t>PO20260212</t>
  </si>
  <si>
    <t>INV2026142</t>
  </si>
  <si>
    <t>PO20260401</t>
  </si>
  <si>
    <t>INV2026143</t>
  </si>
  <si>
    <t>PO20260239</t>
  </si>
  <si>
    <t>INV2026144</t>
  </si>
  <si>
    <t>PO20260150</t>
  </si>
  <si>
    <t>INV2026145</t>
  </si>
  <si>
    <t>INV2026146</t>
  </si>
  <si>
    <t>PO20260199</t>
  </si>
  <si>
    <t>INV2026147</t>
  </si>
  <si>
    <t>PO20260003</t>
  </si>
  <si>
    <t>INV2026148</t>
  </si>
  <si>
    <t>INV2026149</t>
  </si>
  <si>
    <t>INV2026150</t>
  </si>
  <si>
    <t>PO20260332</t>
  </si>
  <si>
    <t>INV2026151</t>
  </si>
  <si>
    <t>INV2026152</t>
  </si>
  <si>
    <t>PO20260063</t>
  </si>
  <si>
    <t>INV2026153</t>
  </si>
  <si>
    <t>PO20260288</t>
  </si>
  <si>
    <t>INV2026154</t>
  </si>
  <si>
    <t>PO20260412</t>
  </si>
  <si>
    <t>INV2026155</t>
  </si>
  <si>
    <t>PO20260019</t>
  </si>
  <si>
    <t>INV2026156</t>
  </si>
  <si>
    <t>INV2026157</t>
  </si>
  <si>
    <t>PO20260397</t>
  </si>
  <si>
    <t>INV2026158</t>
  </si>
  <si>
    <t>INV2026159</t>
  </si>
  <si>
    <t>PO20260145</t>
  </si>
  <si>
    <t>INV2026160</t>
  </si>
  <si>
    <t>PO20260037</t>
  </si>
  <si>
    <t>INV2026161</t>
  </si>
  <si>
    <t>PO20260208</t>
  </si>
  <si>
    <t>INV2026162</t>
  </si>
  <si>
    <t>INV2026163</t>
  </si>
  <si>
    <t>INV2026164</t>
  </si>
  <si>
    <t>PO20260484</t>
  </si>
  <si>
    <t>INV2026165</t>
  </si>
  <si>
    <t>PO20260437</t>
  </si>
  <si>
    <t>INV2026166</t>
  </si>
  <si>
    <t>PO20260238</t>
  </si>
  <si>
    <t>INV2026167</t>
  </si>
  <si>
    <t>PO20260488</t>
  </si>
  <si>
    <t>INV2026168</t>
  </si>
  <si>
    <t>INV2026169</t>
  </si>
  <si>
    <t>INV2026170</t>
  </si>
  <si>
    <t>PO20260014</t>
  </si>
  <si>
    <t>INV2026171</t>
  </si>
  <si>
    <t>INV2026172</t>
  </si>
  <si>
    <t>PO20260028</t>
  </si>
  <si>
    <t>INV2026173</t>
  </si>
  <si>
    <t>PO20260154</t>
  </si>
  <si>
    <t>INV2026174</t>
  </si>
  <si>
    <t>INV2026175</t>
  </si>
  <si>
    <t>PO20260358</t>
  </si>
  <si>
    <t>INV2026176</t>
  </si>
  <si>
    <t>22/4/2026</t>
  </si>
  <si>
    <t>INV2026177</t>
  </si>
  <si>
    <t>PO20260092</t>
  </si>
  <si>
    <t>INV2026178</t>
  </si>
  <si>
    <t>PO20260166</t>
  </si>
  <si>
    <t>INV2026179</t>
  </si>
  <si>
    <t>PO20260207</t>
  </si>
  <si>
    <t>INV2026180</t>
  </si>
  <si>
    <t>PO20260159</t>
  </si>
  <si>
    <t>PO20260127</t>
  </si>
  <si>
    <t>INV2026182</t>
  </si>
  <si>
    <t>PO20260469</t>
  </si>
  <si>
    <t>INV2026183</t>
  </si>
  <si>
    <t>PO20260485</t>
  </si>
  <si>
    <t>INV2026184</t>
  </si>
  <si>
    <t>INV2026185</t>
  </si>
  <si>
    <t>PO20260500</t>
  </si>
  <si>
    <t>INV2026186</t>
  </si>
  <si>
    <t>INV2026187</t>
  </si>
  <si>
    <t>PO20260451</t>
  </si>
  <si>
    <t>INV2026188</t>
  </si>
  <si>
    <t>PO20260079</t>
  </si>
  <si>
    <t>INV2026189</t>
  </si>
  <si>
    <t>INV2026190</t>
  </si>
  <si>
    <t>PO20260108</t>
  </si>
  <si>
    <t>INV2026191</t>
  </si>
  <si>
    <t>INV2026192</t>
  </si>
  <si>
    <t>PO20260013</t>
  </si>
  <si>
    <t>INV2026193</t>
  </si>
  <si>
    <t>PO20260190</t>
  </si>
  <si>
    <t>INV2026194</t>
  </si>
  <si>
    <t>PO20260465</t>
  </si>
  <si>
    <t>INV2026195</t>
  </si>
  <si>
    <t>PO20260084</t>
  </si>
  <si>
    <t>INV2026196</t>
  </si>
  <si>
    <t>PO20260411</t>
  </si>
  <si>
    <t>INV2026197</t>
  </si>
  <si>
    <t>INV2026198</t>
  </si>
  <si>
    <t>INV2026199</t>
  </si>
  <si>
    <t>PO20260056</t>
  </si>
  <si>
    <t>INV2026200</t>
  </si>
  <si>
    <t>Customer</t>
  </si>
  <si>
    <t>Invoice Number</t>
  </si>
  <si>
    <t>Payment Status</t>
  </si>
  <si>
    <t>Amount Due</t>
  </si>
  <si>
    <t>Collection Date</t>
  </si>
  <si>
    <t>Lambda Tech</t>
  </si>
  <si>
    <t>S10001</t>
  </si>
  <si>
    <t>Written Off</t>
  </si>
  <si>
    <t>Theta Corp</t>
  </si>
  <si>
    <t>SI20260002</t>
  </si>
  <si>
    <t>SI20260003</t>
  </si>
  <si>
    <t>Nu Engineering</t>
  </si>
  <si>
    <t>SI20260004</t>
  </si>
  <si>
    <t>Epsilon Engineering</t>
  </si>
  <si>
    <t>SI20260005</t>
  </si>
  <si>
    <t>Upsilon Engineering</t>
  </si>
  <si>
    <t>SI20260006</t>
  </si>
  <si>
    <t>Kappa Solutions</t>
  </si>
  <si>
    <t>SI20260007</t>
  </si>
  <si>
    <t>Collected</t>
  </si>
  <si>
    <t>SI20260008</t>
  </si>
  <si>
    <t>Sigma Tech</t>
  </si>
  <si>
    <t>SI20260009</t>
  </si>
  <si>
    <t>Pi Industries</t>
  </si>
  <si>
    <t>SI20260010</t>
  </si>
  <si>
    <t>Zeta Automation</t>
  </si>
  <si>
    <t>SI20260011</t>
  </si>
  <si>
    <t>SI20260012</t>
  </si>
  <si>
    <t>SI20260013</t>
  </si>
  <si>
    <t>SI20260014</t>
  </si>
  <si>
    <t>Xi Automation</t>
  </si>
  <si>
    <t>SI20260015</t>
  </si>
  <si>
    <t>SI20260016</t>
  </si>
  <si>
    <t>SI20260017</t>
  </si>
  <si>
    <t>SI20260018</t>
  </si>
  <si>
    <t>Gamma Tech</t>
  </si>
  <si>
    <t>SI20260019</t>
  </si>
  <si>
    <t>SI20260020</t>
  </si>
  <si>
    <t>SI20260021</t>
  </si>
  <si>
    <t>SI20260022</t>
  </si>
  <si>
    <t>SI20260023</t>
  </si>
  <si>
    <t>SI20260024</t>
  </si>
  <si>
    <t>Omicron Systems</t>
  </si>
  <si>
    <t>SI20260025</t>
  </si>
  <si>
    <t>SI20260026</t>
  </si>
  <si>
    <t>Eta Systems</t>
  </si>
  <si>
    <t>SI20260027</t>
  </si>
  <si>
    <t>SI20260028</t>
  </si>
  <si>
    <t>Acme Corporation</t>
  </si>
  <si>
    <t>SI20260029</t>
  </si>
  <si>
    <t>Beta Industries</t>
  </si>
  <si>
    <t>SI20260030</t>
  </si>
  <si>
    <t>Rho Corporation</t>
  </si>
  <si>
    <t>S10031</t>
  </si>
  <si>
    <t>SI20260032</t>
  </si>
  <si>
    <t>SI20260033</t>
  </si>
  <si>
    <t>SI20260034</t>
  </si>
  <si>
    <t>SI20260035</t>
  </si>
  <si>
    <t>SI20260036</t>
  </si>
  <si>
    <t>SI20260037</t>
  </si>
  <si>
    <t>SI20260038</t>
  </si>
  <si>
    <t>SI20260039</t>
  </si>
  <si>
    <t>SI20260040</t>
  </si>
  <si>
    <t>SI20260041</t>
  </si>
  <si>
    <t>SI20260042</t>
  </si>
  <si>
    <t>SI20260043</t>
  </si>
  <si>
    <t>SI20260044</t>
  </si>
  <si>
    <t>SI20260045</t>
  </si>
  <si>
    <t>Iota Industries</t>
  </si>
  <si>
    <t>SI20260046</t>
  </si>
  <si>
    <t>SI20260047</t>
  </si>
  <si>
    <t>Mu Manufacturing</t>
  </si>
  <si>
    <t>SI20260048</t>
  </si>
  <si>
    <t>SI20260049</t>
  </si>
  <si>
    <t>SI20260050</t>
  </si>
  <si>
    <t>SI20260051</t>
  </si>
  <si>
    <t>SI20260052</t>
  </si>
  <si>
    <t>SI20260053</t>
  </si>
  <si>
    <t>SI20260054</t>
  </si>
  <si>
    <t>SI20260055</t>
  </si>
  <si>
    <t>SI20260056</t>
  </si>
  <si>
    <t>SI20260057</t>
  </si>
  <si>
    <t>SI20260058</t>
  </si>
  <si>
    <t>SI20260059</t>
  </si>
  <si>
    <t>SI20260060</t>
  </si>
  <si>
    <t>S10061</t>
  </si>
  <si>
    <t>SI20260062</t>
  </si>
  <si>
    <t>SI20260063</t>
  </si>
  <si>
    <t>SI20260064</t>
  </si>
  <si>
    <t>SI20260065</t>
  </si>
  <si>
    <t>Delta Manufacturing</t>
  </si>
  <si>
    <t>SI20260066</t>
  </si>
  <si>
    <t>SI20260067</t>
  </si>
  <si>
    <t>SI20260068</t>
  </si>
  <si>
    <t>SI20260069</t>
  </si>
  <si>
    <t>SI20260070</t>
  </si>
  <si>
    <t>SI20260071</t>
  </si>
  <si>
    <t>SI20260072</t>
  </si>
  <si>
    <t>SI20260073</t>
  </si>
  <si>
    <t>SI20260074</t>
  </si>
  <si>
    <t>SI20260075</t>
  </si>
  <si>
    <t>SI20260076</t>
  </si>
  <si>
    <t>SI20260077</t>
  </si>
  <si>
    <t>SI20260078</t>
  </si>
  <si>
    <t>SI20260079</t>
  </si>
  <si>
    <t>SI20260080</t>
  </si>
  <si>
    <t>SI20260081</t>
  </si>
  <si>
    <t>SI20260082</t>
  </si>
  <si>
    <t>SI20260083</t>
  </si>
  <si>
    <t>SI20260084</t>
  </si>
  <si>
    <t>SI20260085</t>
  </si>
  <si>
    <t>SI20260086</t>
  </si>
  <si>
    <t>SI20260087</t>
  </si>
  <si>
    <t>SI20260088</t>
  </si>
  <si>
    <t>SI20260089</t>
  </si>
  <si>
    <t>SI20260090</t>
  </si>
  <si>
    <t>S10091</t>
  </si>
  <si>
    <t>SI20260092</t>
  </si>
  <si>
    <t>SI20260093</t>
  </si>
  <si>
    <t>SI20260094</t>
  </si>
  <si>
    <t>SI20260095</t>
  </si>
  <si>
    <t>SI20260096</t>
  </si>
  <si>
    <t>Tau Manufacturing</t>
  </si>
  <si>
    <t>SI20260097</t>
  </si>
  <si>
    <t>SI20260098</t>
  </si>
  <si>
    <t>SI20260099</t>
  </si>
  <si>
    <t>SI20260100</t>
  </si>
  <si>
    <t>SI20260101</t>
  </si>
  <si>
    <t>SI20260102</t>
  </si>
  <si>
    <t>SI20260103</t>
  </si>
  <si>
    <t>SI20260104</t>
  </si>
  <si>
    <t>SI20260105</t>
  </si>
  <si>
    <t>SI20260106</t>
  </si>
  <si>
    <t>SI20260107</t>
  </si>
  <si>
    <t>SI20260108</t>
  </si>
  <si>
    <t>SI20260109</t>
  </si>
  <si>
    <t>SI20260110</t>
  </si>
  <si>
    <t>SI20260111</t>
  </si>
  <si>
    <t>SI20260112</t>
  </si>
  <si>
    <t>SI20260113</t>
  </si>
  <si>
    <t>SI20260114</t>
  </si>
  <si>
    <t>SI20260115</t>
  </si>
  <si>
    <t>SI20260116</t>
  </si>
  <si>
    <t>SI20260117</t>
  </si>
  <si>
    <t>SI20260118</t>
  </si>
  <si>
    <t>SI20260119</t>
  </si>
  <si>
    <t>SI20260120</t>
  </si>
  <si>
    <t>S10121</t>
  </si>
  <si>
    <t>SI20260122</t>
  </si>
  <si>
    <t>SI20260123</t>
  </si>
  <si>
    <t>SI20260124</t>
  </si>
  <si>
    <t>SI20260125</t>
  </si>
  <si>
    <t>SI20260126</t>
  </si>
  <si>
    <t>SI20260127</t>
  </si>
  <si>
    <t>SI20260128</t>
  </si>
  <si>
    <t>SI20260129</t>
  </si>
  <si>
    <t>SI20260130</t>
  </si>
  <si>
    <t>SI20260131</t>
  </si>
  <si>
    <t>SI20260132</t>
  </si>
  <si>
    <t>SI20260133</t>
  </si>
  <si>
    <t>SI20260134</t>
  </si>
  <si>
    <t>SI20260135</t>
  </si>
  <si>
    <t>SI20260136</t>
  </si>
  <si>
    <t>SI20260137</t>
  </si>
  <si>
    <t>SI20260138</t>
  </si>
  <si>
    <t>SI20260139</t>
  </si>
  <si>
    <t>SI20260140</t>
  </si>
  <si>
    <t>SI20260141</t>
  </si>
  <si>
    <t>SI20260142</t>
  </si>
  <si>
    <t>SI20260143</t>
  </si>
  <si>
    <t>SI20260144</t>
  </si>
  <si>
    <t>SI20260145</t>
  </si>
  <si>
    <t>SI20260146</t>
  </si>
  <si>
    <t>SI20260147</t>
  </si>
  <si>
    <t>SI20260148</t>
  </si>
  <si>
    <t>SI20260149</t>
  </si>
  <si>
    <t>SI20260150</t>
  </si>
  <si>
    <t>Budget</t>
  </si>
  <si>
    <t>Actual</t>
  </si>
  <si>
    <t>Variance</t>
  </si>
  <si>
    <t>Variance %</t>
  </si>
  <si>
    <t>Month</t>
  </si>
  <si>
    <t>January</t>
  </si>
  <si>
    <t>Facilities</t>
  </si>
  <si>
    <t>February</t>
  </si>
  <si>
    <t>March</t>
  </si>
  <si>
    <t>April</t>
  </si>
  <si>
    <t>Employee Name</t>
  </si>
  <si>
    <t>Claim Type</t>
  </si>
  <si>
    <t>Claim Amount</t>
  </si>
  <si>
    <t>Approval Status</t>
  </si>
  <si>
    <t>Andrew Taylor</t>
  </si>
  <si>
    <t>Transportation</t>
  </si>
  <si>
    <t>Under Review</t>
  </si>
  <si>
    <t>Michael Chen</t>
  </si>
  <si>
    <t>Rejected</t>
  </si>
  <si>
    <t>Ashley Anderson</t>
  </si>
  <si>
    <t>Emily Wong</t>
  </si>
  <si>
    <t>Travel</t>
  </si>
  <si>
    <t>Joshua Harris</t>
  </si>
  <si>
    <t>Miscellaneous</t>
  </si>
  <si>
    <t>Daniel Martinez</t>
  </si>
  <si>
    <t>Equipment</t>
  </si>
  <si>
    <t>John Smith</t>
  </si>
  <si>
    <t>Nicole Clark</t>
  </si>
  <si>
    <t>Training</t>
  </si>
  <si>
    <t>Robert Kim</t>
  </si>
  <si>
    <t>James Wilson</t>
  </si>
  <si>
    <t>Stephanie White</t>
  </si>
  <si>
    <t>Meals</t>
  </si>
  <si>
    <t>Approved</t>
  </si>
  <si>
    <t>Jennifer Tan</t>
  </si>
  <si>
    <t>Accommodation</t>
  </si>
  <si>
    <t>Communication</t>
  </si>
  <si>
    <t>Sarah Johnson</t>
  </si>
  <si>
    <t>Michelle Garcia</t>
  </si>
  <si>
    <t>Lisa Park</t>
  </si>
  <si>
    <t>Jessica Robinson</t>
  </si>
  <si>
    <t>Entertainment</t>
  </si>
  <si>
    <t>Christopher Davis</t>
  </si>
  <si>
    <t>Amanda Brown</t>
  </si>
  <si>
    <t>Office Supplies</t>
  </si>
  <si>
    <t>David Lee</t>
  </si>
  <si>
    <t>Matthew Thompson</t>
  </si>
  <si>
    <t>GLOBALTECH MANUFACTURING CORPORATION</t>
  </si>
  <si>
    <t>PROFIT &amp; LOSS STATEMENT</t>
  </si>
  <si>
    <t>For the Period January - April 2026</t>
  </si>
  <si>
    <t>Line Item</t>
  </si>
  <si>
    <t>REVENUE</t>
  </si>
  <si>
    <t>Product Sales</t>
  </si>
  <si>
    <t>Service Revenue</t>
  </si>
  <si>
    <t>Other Income</t>
  </si>
  <si>
    <t>Total Revenue</t>
  </si>
  <si>
    <t>COST OF GOODS SOLD</t>
  </si>
  <si>
    <t>Raw Materials</t>
  </si>
  <si>
    <t>Direct Labor</t>
  </si>
  <si>
    <t>Manufacturing Overhead</t>
  </si>
  <si>
    <t>Total COGS</t>
  </si>
  <si>
    <t>GROSS PROFIT</t>
  </si>
  <si>
    <t>OPERATING EXPENSES</t>
  </si>
  <si>
    <t>Salaries &amp; Benefits</t>
  </si>
  <si>
    <t>Rent &amp; Utilities</t>
  </si>
  <si>
    <t>Marketing &amp; Advertising</t>
  </si>
  <si>
    <t>Travel &amp; Entertainment</t>
  </si>
  <si>
    <t>Professional Services</t>
  </si>
  <si>
    <t>Insurance</t>
  </si>
  <si>
    <t>Depreciation</t>
  </si>
  <si>
    <t>IT &amp; Communication</t>
  </si>
  <si>
    <t>Total Operating Expenses</t>
  </si>
  <si>
    <t>OPERATING INCOME</t>
  </si>
  <si>
    <t>OTHER INCOME/(EXPENSES)</t>
  </si>
  <si>
    <t>Interest Income</t>
  </si>
  <si>
    <t>Interest Expense</t>
  </si>
  <si>
    <t>Foreign Exchange Gain/(Loss)</t>
  </si>
  <si>
    <t>Total Other Income/(Expenses)</t>
  </si>
  <si>
    <t>INCOME BEFORE TAX</t>
  </si>
  <si>
    <t>Income Tax Expense</t>
  </si>
  <si>
    <t>NET INCOME</t>
  </si>
  <si>
    <t>═══════════════════════════════════════════════════════════════════════════════════════</t>
  </si>
  <si>
    <t>CASE STUDY 1: BANK RECONCILIATION</t>
  </si>
  <si>
    <t>BUSINESS OBJECTIVE</t>
  </si>
  <si>
    <t>Reconcile bank statement transactions with internal ledger records to identify discrepancies,</t>
  </si>
  <si>
    <t>duplicates, and unmatched items, reducing month-end closing time from 4 days to 1 day.</t>
  </si>
  <si>
    <t>DATASETS INVOLVED</t>
  </si>
  <si>
    <t>• Bank Transactions worksheet (405 records)</t>
  </si>
  <si>
    <t>• Internal Ledger worksheet (402 records)</t>
  </si>
  <si>
    <t>CURRENT PAIN POINTS</t>
  </si>
  <si>
    <t>• Manual reconciliation takes 3-4 days per month</t>
  </si>
  <si>
    <t>• High volume of 15,000+ transactions monthly</t>
  </si>
  <si>
    <t>• Frequent human errors in matching</t>
  </si>
  <si>
    <t>• Difficulty detecting duplicates</t>
  </si>
  <si>
    <t>• Missing references causing unmatched items</t>
  </si>
  <si>
    <t>STEP-BY-STEP TASKS</t>
  </si>
  <si>
    <t>TASK 1: Identify Duplicate Transactions in Bank Statement</t>
  </si>
  <si>
    <t>Manual Excel Method:</t>
  </si>
  <si>
    <t>1. Go to Bank Transactions sheet</t>
  </si>
  <si>
    <t>2. Create helper column to concatenate key fields: =B2&amp;E2&amp;D2</t>
  </si>
  <si>
    <t>3. Use COUNTIFS to find duplicates: =COUNTIFS($I:$I,I2)&gt;1</t>
  </si>
  <si>
    <t>4. Apply conditional formatting to highlight duplicates</t>
  </si>
  <si>
    <t>AI Prompt (Basic):</t>
  </si>
  <si>
    <t>"Find duplicates in the bank transactions"</t>
  </si>
  <si>
    <t>AI Prompt (Better):</t>
  </si>
  <si>
    <t>"Analyze the Bank Transactions sheet and identify duplicate entries based on matching</t>
  </si>
  <si>
    <t>Bank Reference, Amount, and Description. List all potential duplicates with their row numbers."</t>
  </si>
  <si>
    <t>AI Prompt (Advanced):</t>
  </si>
  <si>
    <t>"Perform a comprehensive duplicate analysis on the Bank Transactions data:</t>
  </si>
  <si>
    <t>1. Identify exact duplicates (same Transaction ID)</t>
  </si>
  <si>
    <t>2. Identify potential duplicates (same Amount + Description but different ID)</t>
  </si>
  <si>
    <t>3. Flag transactions with same Bank Reference</t>
  </si>
  <si>
    <t>4. Calculate the total financial exposure from duplicates</t>
  </si>
  <si>
    <t>5. Create a summary table with duplicate count by category"</t>
  </si>
  <si>
    <t>EXPECTED OUTPUT:</t>
  </si>
  <si>
    <t>• List of 5+ duplicate transaction pairs</t>
  </si>
  <si>
    <t>• Total duplicate amount: ~$538,000</t>
  </si>
  <si>
    <t>• Recommendation for resolution</t>
  </si>
  <si>
    <t>TASK 2: Match Bank Transactions with Internal Ledger</t>
  </si>
  <si>
    <t>1. Use XLOOKUP: =XLOOKUP(C2,'Internal Ledger'!$G:$G,'Internal Ledger'!$E:$E,"NO MATCH")</t>
  </si>
  <si>
    <t>2. Compare amounts: =IF(E2=matched_amount,"MATCH","DIFFERENCE")</t>
  </si>
  <si>
    <t>3. Calculate difference: =E2-matched_amount</t>
  </si>
  <si>
    <t>"Compare Bank Transactions with Internal Ledger using Reference Number as the key.</t>
  </si>
  <si>
    <t>Create a reconciliation report showing:</t>
  </si>
  <si>
    <t>1. Matched transactions with amounts verified</t>
  </si>
  <si>
    <t>2. Bank transactions without ledger matches</t>
  </si>
  <si>
    <t>3. Ledger entries without bank matches</t>
  </si>
  <si>
    <t>4. Transactions with amount differences</t>
  </si>
  <si>
    <t>5. Summary statistics with reconciliation status"</t>
  </si>
  <si>
    <t>TASK 3: Identify Reconciliation Issues</t>
  </si>
  <si>
    <t>AI Prompt:</t>
  </si>
  <si>
    <t>"Review both Bank Transactions and Internal Ledger data to identify:</t>
  </si>
  <si>
    <t>1. Missing bank references (blank Reference Number)</t>
  </si>
  <si>
    <t>2. Date format inconsistencies (different date formats)</t>
  </si>
  <si>
    <t>3. Description typos that may cause matching failures</t>
  </si>
  <si>
    <t>4. Transactions with status 'Pending' that should be investigated</t>
  </si>
  <si>
    <t>5. Calculate the total unreconciled balance</t>
  </si>
  <si>
    <t>Provide actionable recommendations for each issue type."</t>
  </si>
  <si>
    <t>EXCEL FUNCTIONS REQUIRED</t>
  </si>
  <si>
    <t>XLOOKUP - Match transactions between sheets</t>
  </si>
  <si>
    <t>Reconcile bank statement transactions with internal ledger records to identify discrepancies, duplicates, and unmatched items.</t>
  </si>
  <si>
    <t>Bank Transactions worksheet (405 records) | Internal Ledger worksheet (402 records)</t>
  </si>
  <si>
    <t>1. Manual reconciliation takes 3-4 days per month</t>
  </si>
  <si>
    <t>2. High volume of 15,000+ transactions monthly</t>
  </si>
  <si>
    <t>3. Frequent human errors in matching</t>
  </si>
  <si>
    <t>4. Difficulty detecting duplicates</t>
  </si>
  <si>
    <t>5. Missing references causing unmatched items</t>
  </si>
  <si>
    <t>TASK 1: Identify Duplicate Transactions</t>
  </si>
  <si>
    <t>AI Prompt (Basic): Find duplicates in the bank transactions</t>
  </si>
  <si>
    <t>AI Prompt (Better): Analyze the Bank Transactions sheet and identify duplicate entries based on matching Bank Reference, Amount, and Description.</t>
  </si>
  <si>
    <t>AI Prompt (Advanced): Perform comprehensive duplicate analysis: exact duplicates, potential duplicates, flag same Bank Reference, calculate financial exposure</t>
  </si>
  <si>
    <t>Excel Formula: =XLOOKUP(C2,'Internal Ledger'!$G:$G,'Internal Ledger'!$E:$E,"NO MATCH")</t>
  </si>
  <si>
    <t>AI Prompt: Compare Bank Transactions with Internal Ledger using Reference Number as the key. Create a reconciliation report.</t>
  </si>
  <si>
    <t>AI Prompt: Review both datasets to identify missing references, date format issues, typos, and pending transactions.</t>
  </si>
  <si>
    <t>XLOOKUP, COUNTIFS, SUMIFS, IFERROR, CONCATENATE</t>
  </si>
  <si>
    <t>EXPECTED OUTPUT</t>
  </si>
  <si>
    <t>• 5+ duplicate transaction pairs identified</t>
  </si>
  <si>
    <t>• List of unmatched transactions</t>
  </si>
  <si>
    <t>• Reconciliation summary with statistics</t>
  </si>
  <si>
    <t>MANAGEMENT ACTION</t>
  </si>
  <si>
    <t>1. IMMEDIATE: Investigate and reverse duplicate payments</t>
  </si>
  <si>
    <t>2. SHORT-TERM: Implement mandatory reference numbers</t>
  </si>
  <si>
    <t>3. LONG-TERM: Deploy automated reconciliation with AI</t>
  </si>
  <si>
    <t>CASE STUDY 2: INVOICE MATCHING &amp; PAYMENT RECONCILIATION</t>
  </si>
  <si>
    <t>Compare purchase orders, invoices, and payments to identify mismatches, overpayments, and duplicate invoices.</t>
  </si>
  <si>
    <t>Accounts Payable worksheet (200 records) | Bank Transactions worksheet (405 records)</t>
  </si>
  <si>
    <t>SCENARIO</t>
  </si>
  <si>
    <t>The AP team has identified that 8% of invoices have PO/GRN discrepancies and suspects duplicate payments.</t>
  </si>
  <si>
    <t>TASKS</t>
  </si>
  <si>
    <t>TASK 1: Identify Invoice Mismatches</t>
  </si>
  <si>
    <t>AI Prompt: Analyze the Accounts Payable data and identify invoices with missing PO numbers, unusual amounts, or status inconsistencies.</t>
  </si>
  <si>
    <t>TASK 2: Find Overpayments</t>
  </si>
  <si>
    <t>AI Prompt: Cross-reference AP invoices with Bank Transactions to identify any payments that exceed the original invoice amount.</t>
  </si>
  <si>
    <t>TASK 3: Find Duplicate Invoice Numbers</t>
  </si>
  <si>
    <t>AI Prompt: Scan the Invoice No column in Accounts Payable to find duplicate invoice numbers that may indicate duplicate payment risk.</t>
  </si>
  <si>
    <t>Excel Formula: =COUNTIF($A:$A,A2)&gt;1</t>
  </si>
  <si>
    <t>AI PROMPT EXAMPLES</t>
  </si>
  <si>
    <t>Poor: Check invoices for issues</t>
  </si>
  <si>
    <t>Better: Review payment transactions and identify suspicious invoice inconsistencies including duplicates and amount variances</t>
  </si>
  <si>
    <t>Advanced: Perform 3-way matching analysis between PO, Invoice, and Payment. Flag: 1) Invoices without PO, 2) Amount differences &gt;5%, 3) Duplicate invoice numbers, 4) Late payments past due date. Summarize financial exposure.</t>
  </si>
  <si>
    <t>• List of 3 duplicate invoice numbers</t>
  </si>
  <si>
    <t>• Invoices missing PO numbers (8 records)</t>
  </si>
  <si>
    <t>• Overdue invoice summary</t>
  </si>
  <si>
    <t>• Payment vs Invoice variance report</t>
  </si>
  <si>
    <t>EXCEL FUNCTIONS</t>
  </si>
  <si>
    <t>COUNTIF, VLOOKUP/XLOOKUP, SUMIF, IF, AND/OR, DATEDIF</t>
  </si>
  <si>
    <t>1. Implement mandatory PO requirement for all invoices</t>
  </si>
  <si>
    <t>2. Set up automated duplicate invoice detection</t>
  </si>
  <si>
    <t>3. Review and strengthen vendor payment controls</t>
  </si>
  <si>
    <t>CASE STUDY 3: BUDGET VARIANCE ANALYSIS</t>
  </si>
  <si>
    <t>Identify departments exceeding budget, analyze root causes, and generate management recommendations.</t>
  </si>
  <si>
    <t>Budget vs Actual worksheet (44 records across 4 months)</t>
  </si>
  <si>
    <t>Q1 2026 budget review shows 4 departments exceeded budget by &gt;15%. CFO requires explanation and corrective action plan.</t>
  </si>
  <si>
    <t>TASK 1: Identify Over-Budget Departments</t>
  </si>
  <si>
    <t>AI Prompt: Analyze the Budget vs Actual data and identify all departments with negative variance (actual &gt; budget). Rank by variance amount.</t>
  </si>
  <si>
    <t>TASK 2: Trend Analysis</t>
  </si>
  <si>
    <t>AI Prompt: Show month-over-month budget performance trends for each department. Identify departments with consistently deteriorating performance.</t>
  </si>
  <si>
    <t>TASK 3: Generate Management Report</t>
  </si>
  <si>
    <t>Act as a Financial Controller. Analyze budget variance data and prepare an executive summary including:</t>
  </si>
  <si>
    <t>1. Top 5 departments with largest budget overruns</t>
  </si>
  <si>
    <t>2. Root cause categories (labor, materials, external factors)</t>
  </si>
  <si>
    <t>3. Trend analysis showing if variance is improving or worsening</t>
  </si>
  <si>
    <t>4. Specific recommendations for each over-budget department</t>
  </si>
  <si>
    <t>5. Revised forecast for remaining quarters</t>
  </si>
  <si>
    <t>SUMIFS, AVERAGEIFS, Pivot Tables, Variance formulas, Conditional formatting</t>
  </si>
  <si>
    <t>EXPECTED CHARTS</t>
  </si>
  <si>
    <t>1. Clustered Bar Chart: Budget vs Actual by Department</t>
  </si>
  <si>
    <t>2. Line Chart: Monthly Variance Trend</t>
  </si>
  <si>
    <t>3. Waterfall Chart: Budget to Actual Breakdown</t>
  </si>
  <si>
    <t>4. Heat Map: Variance % by Department and Month</t>
  </si>
  <si>
    <t>BUSINESS INTERPRETATION</t>
  </si>
  <si>
    <t>Marketing March overspend: Campaign costs exceeded plan due to unplanned digital advertising</t>
  </si>
  <si>
    <t>IT February overspend: Emergency infrastructure upgrade after security incident</t>
  </si>
  <si>
    <t>Sales April overspend: Higher commissions from strong Q1 performance</t>
  </si>
  <si>
    <t>R&amp;D January overspend: Accelerated prototype development for new product launch</t>
  </si>
  <si>
    <t>1. Marketing: Require pre-approval for campaigns &gt;$50K</t>
  </si>
  <si>
    <t>2. IT: Include contingency budget for security events</t>
  </si>
  <si>
    <t>3. Sales: Review commission structure alignment</t>
  </si>
  <si>
    <t>4. R&amp;D: Implement stage-gate budget controls</t>
  </si>
  <si>
    <t>CASE STUDY 4: EXPENSE ANOMALY DETECTION</t>
  </si>
  <si>
    <t>Identify suspicious expense claims, unusual patterns, and potential fraud indicators using AI analysis.</t>
  </si>
  <si>
    <t>Expense Claims worksheet (202 records with intentional anomalies)</t>
  </si>
  <si>
    <t>KNOWN ANOMALIES IN DATA</t>
  </si>
  <si>
    <t>• 4 unusually high travel claims ($10,000-$25,000)</t>
  </si>
  <si>
    <t>• 2 exact duplicate claims (same employee, amount, type)</t>
  </si>
  <si>
    <t>• 2 suspicious round amounts ($5,000 exactly)</t>
  </si>
  <si>
    <t>TASK 1: Statistical Anomaly Detection</t>
  </si>
  <si>
    <t>AI Prompt: Calculate the mean and standard deviation of expense claims by type. Flag any claims more than 2 standard deviations from the mean.</t>
  </si>
  <si>
    <t>TASK 2: Duplicate Detection</t>
  </si>
  <si>
    <t>AI Prompt: Identify duplicate expense claims where the same employee submitted the same amount for the same claim type.</t>
  </si>
  <si>
    <t>TASK 3: Pattern Analysis</t>
  </si>
  <si>
    <t>Perform comprehensive expense fraud detection analysis:</t>
  </si>
  <si>
    <t>1. Identify claims with suspiciously round numbers ($X,000.00)</t>
  </si>
  <si>
    <t>2. Find employees with highest total claims</t>
  </si>
  <si>
    <t>3. Detect unusual claim frequency patterns</t>
  </si>
  <si>
    <t>4. Compare individual claims to department averages</t>
  </si>
  <si>
    <t>5. Flag claims just below approval thresholds</t>
  </si>
  <si>
    <t>6. Identify weekend/holiday submissions</t>
  </si>
  <si>
    <t>FRAUD INDICATORS TO WATCH</t>
  </si>
  <si>
    <t>• Round dollar amounts (no cents)</t>
  </si>
  <si>
    <t>• Claims just below approval limits</t>
  </si>
  <si>
    <t>• Multiple similar claims in short period</t>
  </si>
  <si>
    <t>• Unusual claim types for department</t>
  </si>
  <si>
    <t>• Missing or vague descriptions</t>
  </si>
  <si>
    <t>AVERAGE, STDEV, IF, COUNTIFS, PERCENTILE, RANK, MOD (for round numbers)</t>
  </si>
  <si>
    <t>• List of 4+ statistical outliers</t>
  </si>
  <si>
    <t>• 2 duplicate claim pairs identified</t>
  </si>
  <si>
    <t>• Risk score ranking by employee</t>
  </si>
  <si>
    <t>• Recommendation for investigation</t>
  </si>
  <si>
    <t>1. Refer flagged claims to Internal Audit</t>
  </si>
  <si>
    <t>2. Implement automated duplicate detection</t>
  </si>
  <si>
    <t>3. Require receipts for all claims &gt;$100</t>
  </si>
  <si>
    <t>4. Add approval workflow for claims &gt;$2,500</t>
  </si>
  <si>
    <t>CASE STUDY 5: CASH FLOW MONITORING</t>
  </si>
  <si>
    <t>Analyze incoming and outgoing cash movements, forecast cash shortage risk, and improve cash visibility.</t>
  </si>
  <si>
    <t>Bank Transactions worksheet | Accounts Receivable worksheet | Accounts Payable worksheet</t>
  </si>
  <si>
    <t>Treasury needs to forecast cash position for the next 30 days and identify potential shortfall risks.</t>
  </si>
  <si>
    <t>TASK 1: Analyze Current Cash Position</t>
  </si>
  <si>
    <t>AI Prompt: Calculate total cash inflows and outflows from Bank Transactions by month. Show net cash movement.</t>
  </si>
  <si>
    <t>TASK 2: AR Collection Analysis</t>
  </si>
  <si>
    <t>AI Prompt: Analyze Accounts Receivable to determine expected collections. Group by payment status and calculate aging.</t>
  </si>
  <si>
    <t>TASK 3: AP Payment Forecast</t>
  </si>
  <si>
    <t>AI Prompt: Analyze Accounts Payable to forecast required payments. Identify amounts due in next 7, 14, and 30 days.</t>
  </si>
  <si>
    <t>TASK 4: Cash Flow Forecast</t>
  </si>
  <si>
    <t>Create a 30-day rolling cash flow forecast:</t>
  </si>
  <si>
    <t>1. Opening cash balance from Bank Transactions</t>
  </si>
  <si>
    <t>2. Expected AR collections (assume 60% of Pending will collect)</t>
  </si>
  <si>
    <t>3. Required AP payments by due date</t>
  </si>
  <si>
    <t>4. Estimated operating expenses (use monthly average)</t>
  </si>
  <si>
    <t>5. Calculate daily ending balance</t>
  </si>
  <si>
    <t>6. Flag any days with projected negative balance</t>
  </si>
  <si>
    <t>SUMIFS (by date/status), EDATE, EOMONTH, IF, cumulative formulas</t>
  </si>
  <si>
    <t>1. Line Chart: Daily Cash Position Forecast</t>
  </si>
  <si>
    <t>2. Stacked Area Chart: Inflows vs Outflows</t>
  </si>
  <si>
    <t>3. Waterfall Chart: Cash Movement Breakdown</t>
  </si>
  <si>
    <t>4. Bar Chart: AR Aging Analysis</t>
  </si>
  <si>
    <t>KEY METRICS TO MONITOR</t>
  </si>
  <si>
    <t>• Days Cash on Hand</t>
  </si>
  <si>
    <t>• Cash Conversion Cycle</t>
  </si>
  <si>
    <t>• AR Days Sales Outstanding (DSO)</t>
  </si>
  <si>
    <t>• AP Days Payable Outstanding (DPO)</t>
  </si>
  <si>
    <t>1. Accelerate collection of overdue AR</t>
  </si>
  <si>
    <t>2. Negotiate extended payment terms with key vendors</t>
  </si>
  <si>
    <t>3. Prepare credit line draw if shortage projected</t>
  </si>
  <si>
    <t>4. Review discretionary spending freeze if needed</t>
  </si>
  <si>
    <t>CASE STUDY 6: MONTH-END CLOSING SUPPORT</t>
  </si>
  <si>
    <t>Accelerate month-end closing from 12 days to 5 days using AI to generate reports, identify missing entries, and create executive summaries.</t>
  </si>
  <si>
    <t>All worksheets: Bank Transactions, Internal Ledger, AP, AR, Budget vs Actual, Expense Claims, Monthly P&amp;L</t>
  </si>
  <si>
    <t>It is May 5, 2026. April month-end close is in progress. Finance team needs to prepare closing journal entries and management reports.</t>
  </si>
  <si>
    <t>TASK 1: Identify Missing Entries</t>
  </si>
  <si>
    <t>AI Prompt: Compare Bank Transactions with Internal Ledger for April 2026. List all bank transactions that do not have corresponding ledger entries.</t>
  </si>
  <si>
    <t>TASK 2: Accrual Analysis</t>
  </si>
  <si>
    <t>AI Prompt: Identify AP invoices received in April that were not paid by April 30. Calculate the required accrual journal entry.</t>
  </si>
  <si>
    <t>TASK 3: Revenue Recognition Check</t>
  </si>
  <si>
    <t>AI Prompt: Review AR invoices issued in April. Verify all collected amounts match the Monthly P&amp;L revenue figures.</t>
  </si>
  <si>
    <t>TASK 4: Generate Executive Summary</t>
  </si>
  <si>
    <t>Prepare a month-end finance summary for management presentation:</t>
  </si>
  <si>
    <t>1. Key financial highlights (Revenue, Gross Profit, Net Income)</t>
  </si>
  <si>
    <t>2. Month-over-month comparison with variance explanation</t>
  </si>
  <si>
    <t>3. Budget vs Actual summary for April</t>
  </si>
  <si>
    <t>4. Outstanding items requiring management attention</t>
  </si>
  <si>
    <t>5. Cash position update</t>
  </si>
  <si>
    <t>6. Key risks and concerns</t>
  </si>
  <si>
    <t>Format as a professional executive dashboard.</t>
  </si>
  <si>
    <t>MONTH-END CHECKLIST</t>
  </si>
  <si>
    <t>☐ Bank reconciliation completed</t>
  </si>
  <si>
    <t>☐ AP/AR subledgers reconciled to GL</t>
  </si>
  <si>
    <t>☐ Accruals and prepayments reviewed</t>
  </si>
  <si>
    <t>☐ Intercompany balances reconciled</t>
  </si>
  <si>
    <t>☐ Fixed asset register updated</t>
  </si>
  <si>
    <t>☐ Trial balance reviewed</t>
  </si>
  <si>
    <t>☐ Management reports prepared</t>
  </si>
  <si>
    <t>SUMIFS (period filtering), EOMONTH, Pivot Tables, UNIQUE, FILTER</t>
  </si>
  <si>
    <t>• List of unposted transactions</t>
  </si>
  <si>
    <t>• Accrual journal entries</t>
  </si>
  <si>
    <t>• Executive dashboard</t>
  </si>
  <si>
    <t>• Variance explanations</t>
  </si>
  <si>
    <t>CASE STUDY 7: AI EXECUTIVE REPORTING - CFO REPORT</t>
  </si>
  <si>
    <t>Generate a comprehensive CFO report summarizing financial performance, concerns, risks, and recommendations.</t>
  </si>
  <si>
    <t>Monthly P&amp;L | Budget vs Actual | Bank Transactions | AR | AP | Expense Claims</t>
  </si>
  <si>
    <t>The CFO needs a quarterly business review presentation for the Board of Directors meeting.</t>
  </si>
  <si>
    <t>AI PROMPT - CFO ROLE PLAY</t>
  </si>
  <si>
    <t>Act as the CFO of GlobalTech Manufacturing Corporation. Using all available financial data, prepare a comprehensive quarterly financial review including:</t>
  </si>
  <si>
    <t>SECTION 1: FINANCIAL PERFORMANCE SUMMARY</t>
  </si>
  <si>
    <t>- Q1 2026 Revenue, Gross Profit, Operating Income, Net Income</t>
  </si>
  <si>
    <t>- Comparison to prior quarter and prior year (if available)</t>
  </si>
  <si>
    <t>- Key performance drivers and explanations</t>
  </si>
  <si>
    <t>SECTION 2: OPERATIONAL HIGHLIGHTS</t>
  </si>
  <si>
    <t>SECTION 3: CASH &amp; WORKING CAPITAL</t>
  </si>
  <si>
    <t>- Cash position and movement</t>
  </si>
  <si>
    <t>SECTION 4: RISKS &amp; CONCERNS</t>
  </si>
  <si>
    <t>- Top 5 financial risks identified</t>
  </si>
  <si>
    <t>- Impact assessment (High/Medium/Low)</t>
  </si>
  <si>
    <t>SECTION 5: RECOMMENDATIONS</t>
  </si>
  <si>
    <t>SECTION 6: OUTLOOK</t>
  </si>
  <si>
    <t>- Q2 2026 forecast</t>
  </si>
  <si>
    <t>- Full year guidance</t>
  </si>
  <si>
    <t>EXPECTED OUTPUT FORMAT</t>
  </si>
  <si>
    <t>• Executive Summary (1 page)</t>
  </si>
  <si>
    <t>• Detailed Analysis (3-5 pages)</t>
  </si>
  <si>
    <t>• Supporting Charts and Tables</t>
  </si>
  <si>
    <t>• Action Items with owners and deadlines</t>
  </si>
  <si>
    <t>KEY METRICS TO INCLUDE</t>
  </si>
  <si>
    <t>Revenue Growth %, Gross Margin %, Operating Margin %, Net Margin %</t>
  </si>
  <si>
    <t>EBITDA, Cash Conversion Cycle, DSO, DPO, Current Ratio</t>
  </si>
  <si>
    <t>Budget Variance %, Expense Ratio, Revenue per Employee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</si>
</sst>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rgb="FF1F4E79"/>
      <name val="Aptos Narrow"/>
      <family val="2"/>
      <scheme val="minor"/>
    </font>
    <font>
      <i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6"/>
      <color rgb="FF1F4E79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2E75B6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E2EFDA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0" applyFont="1"/>
    <xf numFmtId="0" fontId="4" fillId="0" borderId="0" xfId="0" applyFont="1"/>
    <xf numFmtId="0" fontId="5" fillId="2" borderId="0" xfId="0" applyFont="1" applyFill="1"/>
    <xf numFmtId="0" fontId="6" fillId="2" borderId="0" xfId="0" applyFont="1" applyFill="1"/>
    <xf numFmtId="0" fontId="6" fillId="2" borderId="0" xfId="0" applyFont="1" applyFill="1" applyAlignment="1">
      <alignment horizontal="center"/>
    </xf>
    <xf numFmtId="14" fontId="0" fillId="0" borderId="0" xfId="0" applyNumberFormat="1"/>
    <xf numFmtId="0" fontId="0" fillId="0" borderId="1" xfId="0" applyBorder="1"/>
    <xf numFmtId="0" fontId="6" fillId="2" borderId="1" xfId="0" applyFont="1" applyFill="1" applyBorder="1" applyAlignment="1">
      <alignment horizontal="center"/>
    </xf>
    <xf numFmtId="14" fontId="0" fillId="0" borderId="1" xfId="0" applyNumberFormat="1" applyBorder="1"/>
    <xf numFmtId="4" fontId="0" fillId="0" borderId="1" xfId="0" applyNumberFormat="1" applyBorder="1"/>
    <xf numFmtId="4" fontId="0" fillId="0" borderId="0" xfId="0" applyNumberFormat="1"/>
    <xf numFmtId="3" fontId="6" fillId="2" borderId="0" xfId="0" applyNumberFormat="1" applyFont="1" applyFill="1"/>
    <xf numFmtId="3" fontId="0" fillId="0" borderId="0" xfId="0" applyNumberFormat="1"/>
    <xf numFmtId="164" fontId="6" fillId="2" borderId="0" xfId="0" applyNumberFormat="1" applyFont="1" applyFill="1"/>
    <xf numFmtId="164" fontId="0" fillId="0" borderId="0" xfId="0" applyNumberFormat="1"/>
    <xf numFmtId="4" fontId="6" fillId="2" borderId="0" xfId="0" applyNumberFormat="1" applyFont="1" applyFill="1"/>
    <xf numFmtId="0" fontId="7" fillId="0" borderId="0" xfId="0" applyFont="1"/>
    <xf numFmtId="0" fontId="1" fillId="3" borderId="0" xfId="0" applyFont="1" applyFill="1"/>
    <xf numFmtId="0" fontId="8" fillId="3" borderId="0" xfId="0" applyFont="1" applyFill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DDBCE-9A2B-495C-9F0C-82875B2252C8}">
  <dimension ref="A1:A91"/>
  <sheetViews>
    <sheetView workbookViewId="0"/>
  </sheetViews>
  <sheetFormatPr defaultRowHeight="14.4" x14ac:dyDescent="0.3"/>
  <cols>
    <col min="1" max="1" width="111.109375" customWidth="1"/>
  </cols>
  <sheetData>
    <row r="1" spans="1:1" ht="23.4" x14ac:dyDescent="0.45">
      <c r="A1" s="1" t="s">
        <v>0</v>
      </c>
    </row>
    <row r="2" spans="1:1" ht="15.6" x14ac:dyDescent="0.3">
      <c r="A2" s="2" t="s">
        <v>1</v>
      </c>
    </row>
    <row r="4" spans="1:1" ht="18" x14ac:dyDescent="0.35">
      <c r="A4" s="5" t="s">
        <v>2</v>
      </c>
    </row>
    <row r="6" spans="1:1" x14ac:dyDescent="0.3">
      <c r="A6" t="s">
        <v>3</v>
      </c>
    </row>
    <row r="7" spans="1:1" x14ac:dyDescent="0.3">
      <c r="A7" t="s">
        <v>4</v>
      </c>
    </row>
    <row r="8" spans="1:1" x14ac:dyDescent="0.3">
      <c r="A8" t="s">
        <v>5</v>
      </c>
    </row>
    <row r="9" spans="1:1" x14ac:dyDescent="0.3">
      <c r="A9" t="s">
        <v>6</v>
      </c>
    </row>
    <row r="10" spans="1:1" x14ac:dyDescent="0.3">
      <c r="A10" t="s">
        <v>7</v>
      </c>
    </row>
    <row r="11" spans="1:1" x14ac:dyDescent="0.3">
      <c r="A11" t="s">
        <v>8</v>
      </c>
    </row>
    <row r="12" spans="1:1" x14ac:dyDescent="0.3">
      <c r="A12" t="s">
        <v>9</v>
      </c>
    </row>
    <row r="14" spans="1:1" ht="18" x14ac:dyDescent="0.35">
      <c r="A14" s="5" t="s">
        <v>10</v>
      </c>
    </row>
    <row r="15" spans="1:1" x14ac:dyDescent="0.3">
      <c r="A15" t="s">
        <v>11</v>
      </c>
    </row>
    <row r="16" spans="1:1" x14ac:dyDescent="0.3">
      <c r="A16" t="s">
        <v>12</v>
      </c>
    </row>
    <row r="17" spans="1:1" x14ac:dyDescent="0.3">
      <c r="A17" t="s">
        <v>13</v>
      </c>
    </row>
    <row r="19" spans="1:1" ht="18" x14ac:dyDescent="0.35">
      <c r="A19" s="5" t="s">
        <v>14</v>
      </c>
    </row>
    <row r="20" spans="1:1" x14ac:dyDescent="0.3">
      <c r="A20" t="s">
        <v>15</v>
      </c>
    </row>
    <row r="21" spans="1:1" x14ac:dyDescent="0.3">
      <c r="A21" t="s">
        <v>16</v>
      </c>
    </row>
    <row r="22" spans="1:1" x14ac:dyDescent="0.3">
      <c r="A22" t="s">
        <v>17</v>
      </c>
    </row>
    <row r="23" spans="1:1" x14ac:dyDescent="0.3">
      <c r="A23" t="s">
        <v>18</v>
      </c>
    </row>
    <row r="24" spans="1:1" x14ac:dyDescent="0.3">
      <c r="A24" t="s">
        <v>19</v>
      </c>
    </row>
    <row r="25" spans="1:1" x14ac:dyDescent="0.3">
      <c r="A25" t="s">
        <v>20</v>
      </c>
    </row>
    <row r="26" spans="1:1" x14ac:dyDescent="0.3">
      <c r="A26" t="s">
        <v>21</v>
      </c>
    </row>
    <row r="27" spans="1:1" x14ac:dyDescent="0.3">
      <c r="A27" t="s">
        <v>22</v>
      </c>
    </row>
    <row r="28" spans="1:1" x14ac:dyDescent="0.3">
      <c r="A28" t="s">
        <v>23</v>
      </c>
    </row>
    <row r="29" spans="1:1" x14ac:dyDescent="0.3">
      <c r="A29" t="s">
        <v>24</v>
      </c>
    </row>
    <row r="30" spans="1:1" x14ac:dyDescent="0.3">
      <c r="A30" t="s">
        <v>25</v>
      </c>
    </row>
    <row r="33" spans="1:1" ht="18" x14ac:dyDescent="0.35">
      <c r="A33" s="5" t="s">
        <v>26</v>
      </c>
    </row>
    <row r="35" spans="1:1" x14ac:dyDescent="0.3">
      <c r="A35" t="s">
        <v>27</v>
      </c>
    </row>
    <row r="36" spans="1:1" x14ac:dyDescent="0.3">
      <c r="A36" t="s">
        <v>28</v>
      </c>
    </row>
    <row r="37" spans="1:1" x14ac:dyDescent="0.3">
      <c r="A37" t="s">
        <v>29</v>
      </c>
    </row>
    <row r="38" spans="1:1" x14ac:dyDescent="0.3">
      <c r="A38" t="s">
        <v>30</v>
      </c>
    </row>
    <row r="39" spans="1:1" x14ac:dyDescent="0.3">
      <c r="A39" t="s">
        <v>31</v>
      </c>
    </row>
    <row r="40" spans="1:1" x14ac:dyDescent="0.3">
      <c r="A40" t="s">
        <v>32</v>
      </c>
    </row>
    <row r="41" spans="1:1" x14ac:dyDescent="0.3">
      <c r="A41" t="s">
        <v>33</v>
      </c>
    </row>
    <row r="42" spans="1:1" x14ac:dyDescent="0.3">
      <c r="A42" t="s">
        <v>34</v>
      </c>
    </row>
    <row r="43" spans="1:1" x14ac:dyDescent="0.3">
      <c r="A43" t="s">
        <v>35</v>
      </c>
    </row>
    <row r="44" spans="1:1" x14ac:dyDescent="0.3">
      <c r="A44" t="s">
        <v>36</v>
      </c>
    </row>
    <row r="45" spans="1:1" x14ac:dyDescent="0.3">
      <c r="A45" t="s">
        <v>37</v>
      </c>
    </row>
    <row r="46" spans="1:1" x14ac:dyDescent="0.3">
      <c r="A46" t="s">
        <v>38</v>
      </c>
    </row>
    <row r="47" spans="1:1" x14ac:dyDescent="0.3">
      <c r="A47" t="s">
        <v>39</v>
      </c>
    </row>
    <row r="48" spans="1:1" x14ac:dyDescent="0.3">
      <c r="A48" t="s">
        <v>40</v>
      </c>
    </row>
    <row r="49" spans="1:1" x14ac:dyDescent="0.3">
      <c r="A49" t="s">
        <v>41</v>
      </c>
    </row>
    <row r="50" spans="1:1" x14ac:dyDescent="0.3">
      <c r="A50" t="s">
        <v>42</v>
      </c>
    </row>
    <row r="51" spans="1:1" x14ac:dyDescent="0.3">
      <c r="A51" t="s">
        <v>43</v>
      </c>
    </row>
    <row r="52" spans="1:1" x14ac:dyDescent="0.3">
      <c r="A52" t="s">
        <v>44</v>
      </c>
    </row>
    <row r="53" spans="1:1" x14ac:dyDescent="0.3">
      <c r="A53" t="s">
        <v>45</v>
      </c>
    </row>
    <row r="54" spans="1:1" x14ac:dyDescent="0.3">
      <c r="A54" t="s">
        <v>46</v>
      </c>
    </row>
    <row r="55" spans="1:1" x14ac:dyDescent="0.3">
      <c r="A55" t="s">
        <v>47</v>
      </c>
    </row>
    <row r="56" spans="1:1" x14ac:dyDescent="0.3">
      <c r="A56" t="s">
        <v>48</v>
      </c>
    </row>
    <row r="59" spans="1:1" ht="18" x14ac:dyDescent="0.35">
      <c r="A59" s="5" t="s">
        <v>49</v>
      </c>
    </row>
    <row r="61" spans="1:1" x14ac:dyDescent="0.3">
      <c r="A61" t="s">
        <v>50</v>
      </c>
    </row>
    <row r="62" spans="1:1" x14ac:dyDescent="0.3">
      <c r="A62" t="s">
        <v>51</v>
      </c>
    </row>
    <row r="63" spans="1:1" x14ac:dyDescent="0.3">
      <c r="A63" t="s">
        <v>52</v>
      </c>
    </row>
    <row r="64" spans="1:1" x14ac:dyDescent="0.3">
      <c r="A64" t="s">
        <v>53</v>
      </c>
    </row>
    <row r="65" spans="1:1" x14ac:dyDescent="0.3">
      <c r="A65" t="s">
        <v>54</v>
      </c>
    </row>
    <row r="66" spans="1:1" x14ac:dyDescent="0.3">
      <c r="A66" t="s">
        <v>55</v>
      </c>
    </row>
    <row r="68" spans="1:1" ht="18" x14ac:dyDescent="0.35">
      <c r="A68" s="5" t="s">
        <v>56</v>
      </c>
    </row>
    <row r="70" spans="1:1" x14ac:dyDescent="0.3">
      <c r="A70" t="s">
        <v>57</v>
      </c>
    </row>
    <row r="71" spans="1:1" x14ac:dyDescent="0.3">
      <c r="A71" t="s">
        <v>58</v>
      </c>
    </row>
    <row r="72" spans="1:1" x14ac:dyDescent="0.3">
      <c r="A72" t="s">
        <v>59</v>
      </c>
    </row>
    <row r="73" spans="1:1" x14ac:dyDescent="0.3">
      <c r="A73" t="s">
        <v>60</v>
      </c>
    </row>
    <row r="74" spans="1:1" x14ac:dyDescent="0.3">
      <c r="A74" t="s">
        <v>61</v>
      </c>
    </row>
    <row r="75" spans="1:1" x14ac:dyDescent="0.3">
      <c r="A75" t="s">
        <v>62</v>
      </c>
    </row>
    <row r="76" spans="1:1" x14ac:dyDescent="0.3">
      <c r="A76" t="s">
        <v>63</v>
      </c>
    </row>
    <row r="77" spans="1:1" x14ac:dyDescent="0.3">
      <c r="A77" t="s">
        <v>64</v>
      </c>
    </row>
    <row r="78" spans="1:1" x14ac:dyDescent="0.3">
      <c r="A78" t="s">
        <v>65</v>
      </c>
    </row>
    <row r="79" spans="1:1" x14ac:dyDescent="0.3">
      <c r="A79" t="s">
        <v>66</v>
      </c>
    </row>
    <row r="81" spans="1:1" ht="18" x14ac:dyDescent="0.35">
      <c r="A81" s="5" t="s">
        <v>67</v>
      </c>
    </row>
    <row r="83" spans="1:1" x14ac:dyDescent="0.3">
      <c r="A83" t="s">
        <v>68</v>
      </c>
    </row>
    <row r="84" spans="1:1" x14ac:dyDescent="0.3">
      <c r="A84" t="s">
        <v>69</v>
      </c>
    </row>
    <row r="85" spans="1:1" x14ac:dyDescent="0.3">
      <c r="A85" t="s">
        <v>70</v>
      </c>
    </row>
    <row r="86" spans="1:1" x14ac:dyDescent="0.3">
      <c r="A86" t="s">
        <v>71</v>
      </c>
    </row>
    <row r="87" spans="1:1" x14ac:dyDescent="0.3">
      <c r="A87" t="s">
        <v>72</v>
      </c>
    </row>
    <row r="88" spans="1:1" x14ac:dyDescent="0.3">
      <c r="A88" t="s">
        <v>73</v>
      </c>
    </row>
    <row r="89" spans="1:1" x14ac:dyDescent="0.3">
      <c r="A89" t="s">
        <v>74</v>
      </c>
    </row>
    <row r="90" spans="1:1" x14ac:dyDescent="0.3">
      <c r="A90" t="s">
        <v>75</v>
      </c>
    </row>
    <row r="91" spans="1:1" x14ac:dyDescent="0.3">
      <c r="A91" t="s">
        <v>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6C24A-4B94-42AF-B190-E5D1273A8432}">
  <dimension ref="A1:H406"/>
  <sheetViews>
    <sheetView topLeftCell="A380" workbookViewId="0"/>
  </sheetViews>
  <sheetFormatPr defaultRowHeight="14.4" x14ac:dyDescent="0.3"/>
  <cols>
    <col min="1" max="1" width="15" bestFit="1" customWidth="1"/>
    <col min="2" max="2" width="13.5546875" bestFit="1" customWidth="1"/>
    <col min="3" max="3" width="13.88671875" bestFit="1" customWidth="1"/>
    <col min="4" max="4" width="43.109375" bestFit="1" customWidth="1"/>
    <col min="5" max="5" width="10" bestFit="1" customWidth="1"/>
    <col min="6" max="6" width="11.44140625" bestFit="1" customWidth="1"/>
    <col min="7" max="7" width="16.44140625" bestFit="1" customWidth="1"/>
    <col min="8" max="8" width="10" bestFit="1" customWidth="1"/>
  </cols>
  <sheetData>
    <row r="1" spans="1:8" x14ac:dyDescent="0.3">
      <c r="A1" s="10" t="s">
        <v>77</v>
      </c>
      <c r="B1" s="10" t="s">
        <v>78</v>
      </c>
      <c r="C1" s="10" t="s">
        <v>79</v>
      </c>
      <c r="D1" s="10" t="s">
        <v>80</v>
      </c>
      <c r="E1" s="10" t="s">
        <v>81</v>
      </c>
      <c r="F1" s="10" t="s">
        <v>82</v>
      </c>
      <c r="G1" s="10" t="s">
        <v>83</v>
      </c>
      <c r="H1" s="10" t="s">
        <v>84</v>
      </c>
    </row>
    <row r="2" spans="1:8" x14ac:dyDescent="0.3">
      <c r="A2" s="11">
        <v>46023</v>
      </c>
      <c r="B2" s="9" t="s">
        <v>85</v>
      </c>
      <c r="C2" s="9" t="s">
        <v>86</v>
      </c>
      <c r="D2" s="9" t="s">
        <v>87</v>
      </c>
      <c r="E2" s="12">
        <v>81191.33</v>
      </c>
      <c r="F2" s="9" t="s">
        <v>88</v>
      </c>
      <c r="G2" s="9" t="s">
        <v>89</v>
      </c>
      <c r="H2" s="9" t="s">
        <v>90</v>
      </c>
    </row>
    <row r="3" spans="1:8" x14ac:dyDescent="0.3">
      <c r="A3" s="11">
        <v>46023</v>
      </c>
      <c r="B3" s="9" t="s">
        <v>91</v>
      </c>
      <c r="C3" s="9" t="s">
        <v>92</v>
      </c>
      <c r="D3" s="9" t="s">
        <v>93</v>
      </c>
      <c r="E3" s="12">
        <v>78773.73</v>
      </c>
      <c r="F3" s="9" t="s">
        <v>94</v>
      </c>
      <c r="G3" s="9" t="s">
        <v>89</v>
      </c>
      <c r="H3" s="9" t="s">
        <v>90</v>
      </c>
    </row>
    <row r="4" spans="1:8" x14ac:dyDescent="0.3">
      <c r="A4" s="11">
        <v>46023</v>
      </c>
      <c r="B4" s="9" t="s">
        <v>95</v>
      </c>
      <c r="C4" s="9" t="s">
        <v>96</v>
      </c>
      <c r="D4" s="9" t="s">
        <v>97</v>
      </c>
      <c r="E4" s="12">
        <v>142436.29</v>
      </c>
      <c r="F4" s="9" t="s">
        <v>88</v>
      </c>
      <c r="G4" s="9" t="s">
        <v>89</v>
      </c>
      <c r="H4" s="9" t="s">
        <v>90</v>
      </c>
    </row>
    <row r="5" spans="1:8" x14ac:dyDescent="0.3">
      <c r="A5" s="11">
        <v>46023</v>
      </c>
      <c r="B5" s="9" t="s">
        <v>98</v>
      </c>
      <c r="C5" s="9" t="s">
        <v>99</v>
      </c>
      <c r="D5" s="9" t="s">
        <v>100</v>
      </c>
      <c r="E5" s="12">
        <v>2150.75</v>
      </c>
      <c r="F5" s="9" t="s">
        <v>88</v>
      </c>
      <c r="G5" s="9" t="s">
        <v>101</v>
      </c>
      <c r="H5" s="9" t="s">
        <v>90</v>
      </c>
    </row>
    <row r="6" spans="1:8" x14ac:dyDescent="0.3">
      <c r="A6" s="11">
        <v>46024</v>
      </c>
      <c r="B6" s="9" t="s">
        <v>102</v>
      </c>
      <c r="C6" s="9" t="s">
        <v>103</v>
      </c>
      <c r="D6" s="9" t="s">
        <v>104</v>
      </c>
      <c r="E6" s="12">
        <v>155995.85</v>
      </c>
      <c r="F6" s="9" t="s">
        <v>94</v>
      </c>
      <c r="G6" s="9" t="s">
        <v>105</v>
      </c>
      <c r="H6" s="9" t="s">
        <v>90</v>
      </c>
    </row>
    <row r="7" spans="1:8" x14ac:dyDescent="0.3">
      <c r="A7" s="11">
        <v>46024</v>
      </c>
      <c r="B7" s="9" t="s">
        <v>106</v>
      </c>
      <c r="C7" s="9" t="s">
        <v>107</v>
      </c>
      <c r="D7" s="9" t="s">
        <v>108</v>
      </c>
      <c r="E7" s="12">
        <v>14460.22</v>
      </c>
      <c r="F7" s="9" t="s">
        <v>88</v>
      </c>
      <c r="G7" s="9" t="s">
        <v>89</v>
      </c>
      <c r="H7" s="9" t="s">
        <v>109</v>
      </c>
    </row>
    <row r="8" spans="1:8" x14ac:dyDescent="0.3">
      <c r="A8" s="11">
        <v>46024</v>
      </c>
      <c r="B8" s="9" t="s">
        <v>110</v>
      </c>
      <c r="C8" s="9" t="s">
        <v>111</v>
      </c>
      <c r="D8" s="9" t="s">
        <v>112</v>
      </c>
      <c r="E8" s="12">
        <v>51297.89</v>
      </c>
      <c r="F8" s="9" t="s">
        <v>94</v>
      </c>
      <c r="G8" s="9" t="s">
        <v>113</v>
      </c>
      <c r="H8" s="9" t="s">
        <v>90</v>
      </c>
    </row>
    <row r="9" spans="1:8" x14ac:dyDescent="0.3">
      <c r="A9" s="11">
        <v>46024</v>
      </c>
      <c r="B9" s="9" t="s">
        <v>114</v>
      </c>
      <c r="C9" s="9" t="s">
        <v>115</v>
      </c>
      <c r="D9" s="9" t="s">
        <v>116</v>
      </c>
      <c r="E9" s="12">
        <v>7674.08</v>
      </c>
      <c r="F9" s="9" t="s">
        <v>88</v>
      </c>
      <c r="G9" s="9" t="s">
        <v>89</v>
      </c>
      <c r="H9" s="9" t="s">
        <v>90</v>
      </c>
    </row>
    <row r="10" spans="1:8" x14ac:dyDescent="0.3">
      <c r="A10" s="11">
        <v>46025</v>
      </c>
      <c r="B10" s="9" t="s">
        <v>117</v>
      </c>
      <c r="C10" s="9" t="s">
        <v>118</v>
      </c>
      <c r="D10" s="9" t="s">
        <v>119</v>
      </c>
      <c r="E10" s="12">
        <v>106062.65</v>
      </c>
      <c r="F10" s="9" t="s">
        <v>88</v>
      </c>
      <c r="G10" s="9" t="s">
        <v>101</v>
      </c>
      <c r="H10" s="9" t="s">
        <v>90</v>
      </c>
    </row>
    <row r="11" spans="1:8" x14ac:dyDescent="0.3">
      <c r="A11" s="11">
        <v>46025</v>
      </c>
      <c r="B11" s="9" t="s">
        <v>120</v>
      </c>
      <c r="C11" s="9" t="s">
        <v>121</v>
      </c>
      <c r="D11" s="9" t="s">
        <v>93</v>
      </c>
      <c r="E11" s="12">
        <v>493729.76</v>
      </c>
      <c r="F11" s="9" t="s">
        <v>88</v>
      </c>
      <c r="G11" s="9" t="s">
        <v>113</v>
      </c>
      <c r="H11" s="9" t="s">
        <v>109</v>
      </c>
    </row>
    <row r="12" spans="1:8" x14ac:dyDescent="0.3">
      <c r="A12" s="11">
        <v>46025</v>
      </c>
      <c r="B12" s="9" t="s">
        <v>122</v>
      </c>
      <c r="C12" s="9" t="s">
        <v>123</v>
      </c>
      <c r="D12" s="9" t="s">
        <v>124</v>
      </c>
      <c r="E12" s="12">
        <v>143116.82999999999</v>
      </c>
      <c r="F12" s="9" t="s">
        <v>88</v>
      </c>
      <c r="G12" s="9" t="s">
        <v>113</v>
      </c>
      <c r="H12" s="9" t="s">
        <v>109</v>
      </c>
    </row>
    <row r="13" spans="1:8" x14ac:dyDescent="0.3">
      <c r="A13" s="11">
        <v>46025</v>
      </c>
      <c r="B13" s="9" t="s">
        <v>125</v>
      </c>
      <c r="C13" s="9" t="s">
        <v>126</v>
      </c>
      <c r="D13" s="9" t="s">
        <v>127</v>
      </c>
      <c r="E13" s="12">
        <v>1704.15</v>
      </c>
      <c r="F13" s="9" t="s">
        <v>88</v>
      </c>
      <c r="G13" s="9" t="s">
        <v>105</v>
      </c>
      <c r="H13" s="9" t="s">
        <v>90</v>
      </c>
    </row>
    <row r="14" spans="1:8" x14ac:dyDescent="0.3">
      <c r="A14" s="11">
        <v>46026</v>
      </c>
      <c r="B14" s="9" t="s">
        <v>128</v>
      </c>
      <c r="C14" s="9" t="s">
        <v>129</v>
      </c>
      <c r="D14" s="9" t="s">
        <v>130</v>
      </c>
      <c r="E14" s="12">
        <v>60697.54</v>
      </c>
      <c r="F14" s="9" t="s">
        <v>94</v>
      </c>
      <c r="G14" s="9" t="s">
        <v>105</v>
      </c>
      <c r="H14" s="9" t="s">
        <v>109</v>
      </c>
    </row>
    <row r="15" spans="1:8" x14ac:dyDescent="0.3">
      <c r="A15" s="11">
        <v>46026</v>
      </c>
      <c r="B15" s="9" t="s">
        <v>131</v>
      </c>
      <c r="C15" s="9" t="s">
        <v>132</v>
      </c>
      <c r="D15" s="9" t="s">
        <v>133</v>
      </c>
      <c r="E15" s="12">
        <v>76988.91</v>
      </c>
      <c r="F15" s="9" t="s">
        <v>88</v>
      </c>
      <c r="G15" s="9" t="s">
        <v>105</v>
      </c>
      <c r="H15" s="9" t="s">
        <v>90</v>
      </c>
    </row>
    <row r="16" spans="1:8" x14ac:dyDescent="0.3">
      <c r="A16" s="11">
        <v>46027</v>
      </c>
      <c r="B16" s="9" t="s">
        <v>134</v>
      </c>
      <c r="C16" s="9" t="s">
        <v>135</v>
      </c>
      <c r="D16" s="9" t="s">
        <v>136</v>
      </c>
      <c r="E16" s="12">
        <v>192529.05</v>
      </c>
      <c r="F16" s="9" t="s">
        <v>94</v>
      </c>
      <c r="G16" s="9" t="s">
        <v>101</v>
      </c>
      <c r="H16" s="9" t="s">
        <v>90</v>
      </c>
    </row>
    <row r="17" spans="1:8" x14ac:dyDescent="0.3">
      <c r="A17" s="11">
        <v>46028</v>
      </c>
      <c r="B17" s="9" t="s">
        <v>137</v>
      </c>
      <c r="C17" s="9"/>
      <c r="D17" s="9" t="s">
        <v>138</v>
      </c>
      <c r="E17" s="12">
        <v>114901.02</v>
      </c>
      <c r="F17" s="9" t="s">
        <v>94</v>
      </c>
      <c r="G17" s="9" t="s">
        <v>113</v>
      </c>
      <c r="H17" s="9" t="s">
        <v>109</v>
      </c>
    </row>
    <row r="18" spans="1:8" x14ac:dyDescent="0.3">
      <c r="A18" s="11">
        <v>46028</v>
      </c>
      <c r="B18" s="9" t="s">
        <v>139</v>
      </c>
      <c r="C18" s="9" t="s">
        <v>140</v>
      </c>
      <c r="D18" s="9" t="s">
        <v>141</v>
      </c>
      <c r="E18" s="12">
        <v>38872.400000000001</v>
      </c>
      <c r="F18" s="9" t="s">
        <v>88</v>
      </c>
      <c r="G18" s="9" t="s">
        <v>113</v>
      </c>
      <c r="H18" s="9" t="s">
        <v>142</v>
      </c>
    </row>
    <row r="19" spans="1:8" x14ac:dyDescent="0.3">
      <c r="A19" s="11">
        <v>46028</v>
      </c>
      <c r="B19" s="9" t="s">
        <v>143</v>
      </c>
      <c r="C19" s="9" t="s">
        <v>144</v>
      </c>
      <c r="D19" s="9" t="s">
        <v>145</v>
      </c>
      <c r="E19" s="12">
        <v>18124.12</v>
      </c>
      <c r="F19" s="9" t="s">
        <v>88</v>
      </c>
      <c r="G19" s="9" t="s">
        <v>101</v>
      </c>
      <c r="H19" s="9" t="s">
        <v>142</v>
      </c>
    </row>
    <row r="20" spans="1:8" x14ac:dyDescent="0.3">
      <c r="A20" s="11">
        <v>46028</v>
      </c>
      <c r="B20" s="9" t="s">
        <v>146</v>
      </c>
      <c r="C20" s="9" t="s">
        <v>147</v>
      </c>
      <c r="D20" s="9" t="s">
        <v>148</v>
      </c>
      <c r="E20" s="12">
        <v>56351.23</v>
      </c>
      <c r="F20" s="9" t="s">
        <v>88</v>
      </c>
      <c r="G20" s="9" t="s">
        <v>105</v>
      </c>
      <c r="H20" s="9" t="s">
        <v>142</v>
      </c>
    </row>
    <row r="21" spans="1:8" x14ac:dyDescent="0.3">
      <c r="A21" s="11">
        <v>46028</v>
      </c>
      <c r="B21" s="9" t="s">
        <v>149</v>
      </c>
      <c r="C21" s="9" t="s">
        <v>150</v>
      </c>
      <c r="D21" s="9" t="s">
        <v>151</v>
      </c>
      <c r="E21" s="12">
        <v>3107.51</v>
      </c>
      <c r="F21" s="9" t="s">
        <v>88</v>
      </c>
      <c r="G21" s="9" t="s">
        <v>113</v>
      </c>
      <c r="H21" s="9" t="s">
        <v>90</v>
      </c>
    </row>
    <row r="22" spans="1:8" x14ac:dyDescent="0.3">
      <c r="A22" s="11">
        <v>46028</v>
      </c>
      <c r="B22" s="9" t="s">
        <v>152</v>
      </c>
      <c r="C22" s="9" t="s">
        <v>153</v>
      </c>
      <c r="D22" s="9" t="s">
        <v>154</v>
      </c>
      <c r="E22" s="12">
        <v>125473.62</v>
      </c>
      <c r="F22" s="9" t="s">
        <v>88</v>
      </c>
      <c r="G22" s="9" t="s">
        <v>105</v>
      </c>
      <c r="H22" s="9" t="s">
        <v>90</v>
      </c>
    </row>
    <row r="23" spans="1:8" x14ac:dyDescent="0.3">
      <c r="A23" s="11">
        <v>46028</v>
      </c>
      <c r="B23" s="9" t="s">
        <v>155</v>
      </c>
      <c r="C23" s="9" t="s">
        <v>156</v>
      </c>
      <c r="D23" s="9" t="s">
        <v>157</v>
      </c>
      <c r="E23" s="12">
        <v>147107.25</v>
      </c>
      <c r="F23" s="9" t="s">
        <v>88</v>
      </c>
      <c r="G23" s="9" t="s">
        <v>105</v>
      </c>
      <c r="H23" s="9" t="s">
        <v>142</v>
      </c>
    </row>
    <row r="24" spans="1:8" x14ac:dyDescent="0.3">
      <c r="A24" s="11">
        <v>46029</v>
      </c>
      <c r="B24" s="9" t="s">
        <v>158</v>
      </c>
      <c r="C24" s="9" t="s">
        <v>159</v>
      </c>
      <c r="D24" s="9" t="s">
        <v>160</v>
      </c>
      <c r="E24" s="12">
        <v>25490.959999999999</v>
      </c>
      <c r="F24" s="9" t="s">
        <v>94</v>
      </c>
      <c r="G24" s="9" t="s">
        <v>101</v>
      </c>
      <c r="H24" s="9" t="s">
        <v>90</v>
      </c>
    </row>
    <row r="25" spans="1:8" x14ac:dyDescent="0.3">
      <c r="A25" s="11">
        <v>46029</v>
      </c>
      <c r="B25" s="9" t="s">
        <v>161</v>
      </c>
      <c r="C25" s="9" t="s">
        <v>162</v>
      </c>
      <c r="D25" s="9" t="s">
        <v>163</v>
      </c>
      <c r="E25" s="12">
        <v>7828.38</v>
      </c>
      <c r="F25" s="9" t="s">
        <v>94</v>
      </c>
      <c r="G25" s="9" t="s">
        <v>105</v>
      </c>
      <c r="H25" s="9" t="s">
        <v>90</v>
      </c>
    </row>
    <row r="26" spans="1:8" x14ac:dyDescent="0.3">
      <c r="A26" s="11">
        <v>46029</v>
      </c>
      <c r="B26" s="9" t="s">
        <v>164</v>
      </c>
      <c r="C26" s="9" t="s">
        <v>165</v>
      </c>
      <c r="D26" s="9" t="s">
        <v>166</v>
      </c>
      <c r="E26" s="12">
        <v>55063.23</v>
      </c>
      <c r="F26" s="9" t="s">
        <v>88</v>
      </c>
      <c r="G26" s="9" t="s">
        <v>113</v>
      </c>
      <c r="H26" s="9" t="s">
        <v>109</v>
      </c>
    </row>
    <row r="27" spans="1:8" x14ac:dyDescent="0.3">
      <c r="A27" s="11">
        <v>46204</v>
      </c>
      <c r="B27" s="9" t="s">
        <v>167</v>
      </c>
      <c r="C27" s="9" t="s">
        <v>168</v>
      </c>
      <c r="D27" s="9" t="s">
        <v>169</v>
      </c>
      <c r="E27" s="12">
        <v>19003.939999999999</v>
      </c>
      <c r="F27" s="9" t="s">
        <v>88</v>
      </c>
      <c r="G27" s="9" t="s">
        <v>101</v>
      </c>
      <c r="H27" s="9" t="s">
        <v>109</v>
      </c>
    </row>
    <row r="28" spans="1:8" x14ac:dyDescent="0.3">
      <c r="A28" s="11">
        <v>46029</v>
      </c>
      <c r="B28" s="9" t="s">
        <v>170</v>
      </c>
      <c r="C28" s="9" t="s">
        <v>171</v>
      </c>
      <c r="D28" s="9" t="s">
        <v>172</v>
      </c>
      <c r="E28" s="12">
        <v>34726.050000000003</v>
      </c>
      <c r="F28" s="9" t="s">
        <v>94</v>
      </c>
      <c r="G28" s="9" t="s">
        <v>89</v>
      </c>
      <c r="H28" s="9" t="s">
        <v>90</v>
      </c>
    </row>
    <row r="29" spans="1:8" x14ac:dyDescent="0.3">
      <c r="A29" s="11">
        <v>46030</v>
      </c>
      <c r="B29" s="9" t="s">
        <v>173</v>
      </c>
      <c r="C29" s="9" t="s">
        <v>174</v>
      </c>
      <c r="D29" s="9" t="s">
        <v>175</v>
      </c>
      <c r="E29" s="12">
        <v>71434.55</v>
      </c>
      <c r="F29" s="9" t="s">
        <v>94</v>
      </c>
      <c r="G29" s="9" t="s">
        <v>101</v>
      </c>
      <c r="H29" s="9" t="s">
        <v>109</v>
      </c>
    </row>
    <row r="30" spans="1:8" x14ac:dyDescent="0.3">
      <c r="A30" s="11">
        <v>46030</v>
      </c>
      <c r="B30" s="9" t="s">
        <v>176</v>
      </c>
      <c r="C30" s="9" t="s">
        <v>177</v>
      </c>
      <c r="D30" s="9" t="s">
        <v>178</v>
      </c>
      <c r="E30" s="12">
        <v>148452.94</v>
      </c>
      <c r="F30" s="9" t="s">
        <v>94</v>
      </c>
      <c r="G30" s="9" t="s">
        <v>89</v>
      </c>
      <c r="H30" s="9" t="s">
        <v>90</v>
      </c>
    </row>
    <row r="31" spans="1:8" x14ac:dyDescent="0.3">
      <c r="A31" s="11">
        <v>46030</v>
      </c>
      <c r="B31" s="9" t="s">
        <v>179</v>
      </c>
      <c r="C31" s="9" t="s">
        <v>180</v>
      </c>
      <c r="D31" s="9" t="s">
        <v>100</v>
      </c>
      <c r="E31" s="12">
        <v>44830.06</v>
      </c>
      <c r="F31" s="9" t="s">
        <v>88</v>
      </c>
      <c r="G31" s="9" t="s">
        <v>101</v>
      </c>
      <c r="H31" s="9" t="s">
        <v>142</v>
      </c>
    </row>
    <row r="32" spans="1:8" x14ac:dyDescent="0.3">
      <c r="A32" s="11">
        <v>46030</v>
      </c>
      <c r="B32" s="9" t="s">
        <v>181</v>
      </c>
      <c r="C32" s="9" t="s">
        <v>182</v>
      </c>
      <c r="D32" s="9" t="s">
        <v>93</v>
      </c>
      <c r="E32" s="12">
        <v>246451.21</v>
      </c>
      <c r="F32" s="9" t="s">
        <v>88</v>
      </c>
      <c r="G32" s="9" t="s">
        <v>113</v>
      </c>
      <c r="H32" s="9" t="s">
        <v>90</v>
      </c>
    </row>
    <row r="33" spans="1:8" x14ac:dyDescent="0.3">
      <c r="A33" s="11">
        <v>46031</v>
      </c>
      <c r="B33" s="9" t="s">
        <v>183</v>
      </c>
      <c r="C33" s="9" t="s">
        <v>184</v>
      </c>
      <c r="D33" s="9" t="s">
        <v>185</v>
      </c>
      <c r="E33" s="12">
        <v>37422.03</v>
      </c>
      <c r="F33" s="9" t="s">
        <v>88</v>
      </c>
      <c r="G33" s="9" t="s">
        <v>89</v>
      </c>
      <c r="H33" s="9" t="s">
        <v>90</v>
      </c>
    </row>
    <row r="34" spans="1:8" x14ac:dyDescent="0.3">
      <c r="A34" s="11">
        <v>46031</v>
      </c>
      <c r="B34" s="9" t="s">
        <v>186</v>
      </c>
      <c r="C34" s="9" t="s">
        <v>187</v>
      </c>
      <c r="D34" s="9" t="s">
        <v>188</v>
      </c>
      <c r="E34" s="12">
        <v>93949.7</v>
      </c>
      <c r="F34" s="9" t="s">
        <v>88</v>
      </c>
      <c r="G34" s="9" t="s">
        <v>101</v>
      </c>
      <c r="H34" s="9" t="s">
        <v>142</v>
      </c>
    </row>
    <row r="35" spans="1:8" x14ac:dyDescent="0.3">
      <c r="A35" s="11">
        <v>46031</v>
      </c>
      <c r="B35" s="9" t="s">
        <v>189</v>
      </c>
      <c r="C35" s="9" t="s">
        <v>190</v>
      </c>
      <c r="D35" s="9" t="s">
        <v>191</v>
      </c>
      <c r="E35" s="12">
        <v>11913.2</v>
      </c>
      <c r="F35" s="9" t="s">
        <v>88</v>
      </c>
      <c r="G35" s="9" t="s">
        <v>113</v>
      </c>
      <c r="H35" s="9" t="s">
        <v>109</v>
      </c>
    </row>
    <row r="36" spans="1:8" x14ac:dyDescent="0.3">
      <c r="A36" s="11">
        <v>46031</v>
      </c>
      <c r="B36" s="9" t="s">
        <v>192</v>
      </c>
      <c r="C36" s="9" t="s">
        <v>193</v>
      </c>
      <c r="D36" s="9" t="s">
        <v>194</v>
      </c>
      <c r="E36" s="12">
        <v>94350.45</v>
      </c>
      <c r="F36" s="9" t="s">
        <v>88</v>
      </c>
      <c r="G36" s="9" t="s">
        <v>89</v>
      </c>
      <c r="H36" s="9" t="s">
        <v>90</v>
      </c>
    </row>
    <row r="37" spans="1:8" x14ac:dyDescent="0.3">
      <c r="A37" s="11">
        <v>46031</v>
      </c>
      <c r="B37" s="9" t="s">
        <v>195</v>
      </c>
      <c r="C37" s="9" t="s">
        <v>196</v>
      </c>
      <c r="D37" s="9" t="s">
        <v>191</v>
      </c>
      <c r="E37" s="12">
        <v>7213.19</v>
      </c>
      <c r="F37" s="9" t="s">
        <v>88</v>
      </c>
      <c r="G37" s="9" t="s">
        <v>113</v>
      </c>
      <c r="H37" s="9" t="s">
        <v>90</v>
      </c>
    </row>
    <row r="38" spans="1:8" x14ac:dyDescent="0.3">
      <c r="A38" s="11">
        <v>46031</v>
      </c>
      <c r="B38" s="9" t="s">
        <v>197</v>
      </c>
      <c r="C38" s="9" t="s">
        <v>198</v>
      </c>
      <c r="D38" s="9" t="s">
        <v>199</v>
      </c>
      <c r="E38" s="12">
        <v>100626.53</v>
      </c>
      <c r="F38" s="9" t="s">
        <v>88</v>
      </c>
      <c r="G38" s="9" t="s">
        <v>101</v>
      </c>
      <c r="H38" s="9" t="s">
        <v>142</v>
      </c>
    </row>
    <row r="39" spans="1:8" x14ac:dyDescent="0.3">
      <c r="A39" s="11">
        <v>46032</v>
      </c>
      <c r="B39" s="9" t="s">
        <v>200</v>
      </c>
      <c r="C39" s="9" t="s">
        <v>201</v>
      </c>
      <c r="D39" s="9" t="s">
        <v>202</v>
      </c>
      <c r="E39" s="12">
        <v>122603.8</v>
      </c>
      <c r="F39" s="9" t="s">
        <v>88</v>
      </c>
      <c r="G39" s="9" t="s">
        <v>105</v>
      </c>
      <c r="H39" s="9" t="s">
        <v>90</v>
      </c>
    </row>
    <row r="40" spans="1:8" x14ac:dyDescent="0.3">
      <c r="A40" s="11">
        <v>46032</v>
      </c>
      <c r="B40" s="9" t="s">
        <v>203</v>
      </c>
      <c r="C40" s="9" t="s">
        <v>204</v>
      </c>
      <c r="D40" s="9" t="s">
        <v>205</v>
      </c>
      <c r="E40" s="12">
        <v>94450.04</v>
      </c>
      <c r="F40" s="9" t="s">
        <v>88</v>
      </c>
      <c r="G40" s="9" t="s">
        <v>89</v>
      </c>
      <c r="H40" s="9" t="s">
        <v>90</v>
      </c>
    </row>
    <row r="41" spans="1:8" x14ac:dyDescent="0.3">
      <c r="A41" s="11">
        <v>46033</v>
      </c>
      <c r="B41" s="9" t="s">
        <v>206</v>
      </c>
      <c r="C41" s="9" t="s">
        <v>207</v>
      </c>
      <c r="D41" s="9" t="s">
        <v>208</v>
      </c>
      <c r="E41" s="12">
        <v>15290.23</v>
      </c>
      <c r="F41" s="9" t="s">
        <v>88</v>
      </c>
      <c r="G41" s="9" t="s">
        <v>101</v>
      </c>
      <c r="H41" s="9" t="s">
        <v>90</v>
      </c>
    </row>
    <row r="42" spans="1:8" x14ac:dyDescent="0.3">
      <c r="A42" s="11">
        <v>46033</v>
      </c>
      <c r="B42" s="9" t="s">
        <v>209</v>
      </c>
      <c r="C42" s="9" t="s">
        <v>210</v>
      </c>
      <c r="D42" s="9" t="s">
        <v>211</v>
      </c>
      <c r="E42" s="12">
        <v>17922.169999999998</v>
      </c>
      <c r="F42" s="9" t="s">
        <v>88</v>
      </c>
      <c r="G42" s="9" t="s">
        <v>105</v>
      </c>
      <c r="H42" s="9" t="s">
        <v>90</v>
      </c>
    </row>
    <row r="43" spans="1:8" x14ac:dyDescent="0.3">
      <c r="A43" s="11">
        <v>46033</v>
      </c>
      <c r="B43" s="9" t="s">
        <v>212</v>
      </c>
      <c r="C43" s="9" t="s">
        <v>213</v>
      </c>
      <c r="D43" s="9" t="s">
        <v>214</v>
      </c>
      <c r="E43" s="12">
        <v>153277.9</v>
      </c>
      <c r="F43" s="9" t="s">
        <v>94</v>
      </c>
      <c r="G43" s="9" t="s">
        <v>113</v>
      </c>
      <c r="H43" s="9" t="s">
        <v>90</v>
      </c>
    </row>
    <row r="44" spans="1:8" x14ac:dyDescent="0.3">
      <c r="A44" s="11">
        <v>46034</v>
      </c>
      <c r="B44" s="9" t="s">
        <v>215</v>
      </c>
      <c r="C44" s="9" t="s">
        <v>216</v>
      </c>
      <c r="D44" s="9" t="s">
        <v>217</v>
      </c>
      <c r="E44" s="12">
        <v>59468.04</v>
      </c>
      <c r="F44" s="9" t="s">
        <v>88</v>
      </c>
      <c r="G44" s="9" t="s">
        <v>101</v>
      </c>
      <c r="H44" s="9" t="s">
        <v>109</v>
      </c>
    </row>
    <row r="45" spans="1:8" x14ac:dyDescent="0.3">
      <c r="A45" s="11">
        <v>46034</v>
      </c>
      <c r="B45" s="9" t="s">
        <v>218</v>
      </c>
      <c r="C45" s="9" t="s">
        <v>219</v>
      </c>
      <c r="D45" s="9" t="s">
        <v>220</v>
      </c>
      <c r="E45" s="12">
        <v>42187.41</v>
      </c>
      <c r="F45" s="9" t="s">
        <v>88</v>
      </c>
      <c r="G45" s="9" t="s">
        <v>89</v>
      </c>
      <c r="H45" s="9" t="s">
        <v>90</v>
      </c>
    </row>
    <row r="46" spans="1:8" x14ac:dyDescent="0.3">
      <c r="A46" s="11">
        <v>46035</v>
      </c>
      <c r="B46" s="9" t="s">
        <v>221</v>
      </c>
      <c r="C46" s="9" t="s">
        <v>222</v>
      </c>
      <c r="D46" s="9" t="s">
        <v>93</v>
      </c>
      <c r="E46" s="12">
        <v>331110.06</v>
      </c>
      <c r="F46" s="9" t="s">
        <v>88</v>
      </c>
      <c r="G46" s="9" t="s">
        <v>89</v>
      </c>
      <c r="H46" s="9" t="s">
        <v>90</v>
      </c>
    </row>
    <row r="47" spans="1:8" x14ac:dyDescent="0.3">
      <c r="A47" s="11">
        <v>46035</v>
      </c>
      <c r="B47" s="9" t="s">
        <v>223</v>
      </c>
      <c r="C47" s="9" t="s">
        <v>224</v>
      </c>
      <c r="D47" s="9" t="s">
        <v>225</v>
      </c>
      <c r="E47" s="12">
        <v>20086.48</v>
      </c>
      <c r="F47" s="9" t="s">
        <v>94</v>
      </c>
      <c r="G47" s="9" t="s">
        <v>89</v>
      </c>
      <c r="H47" s="9" t="s">
        <v>90</v>
      </c>
    </row>
    <row r="48" spans="1:8" x14ac:dyDescent="0.3">
      <c r="A48" s="11">
        <v>46035</v>
      </c>
      <c r="B48" s="9" t="s">
        <v>226</v>
      </c>
      <c r="C48" s="9" t="s">
        <v>227</v>
      </c>
      <c r="D48" s="9" t="s">
        <v>228</v>
      </c>
      <c r="E48" s="12">
        <v>39170.53</v>
      </c>
      <c r="F48" s="9" t="s">
        <v>88</v>
      </c>
      <c r="G48" s="9" t="s">
        <v>113</v>
      </c>
      <c r="H48" s="9" t="s">
        <v>90</v>
      </c>
    </row>
    <row r="49" spans="1:8" x14ac:dyDescent="0.3">
      <c r="A49" s="11">
        <v>46035</v>
      </c>
      <c r="B49" s="9" t="s">
        <v>229</v>
      </c>
      <c r="C49" s="9" t="s">
        <v>230</v>
      </c>
      <c r="D49" s="9" t="s">
        <v>231</v>
      </c>
      <c r="E49" s="12">
        <v>57722.44</v>
      </c>
      <c r="F49" s="9" t="s">
        <v>88</v>
      </c>
      <c r="G49" s="9" t="s">
        <v>113</v>
      </c>
      <c r="H49" s="9" t="s">
        <v>90</v>
      </c>
    </row>
    <row r="50" spans="1:8" x14ac:dyDescent="0.3">
      <c r="A50" s="11">
        <v>46035</v>
      </c>
      <c r="B50" s="9" t="s">
        <v>232</v>
      </c>
      <c r="C50" s="9" t="s">
        <v>233</v>
      </c>
      <c r="D50" s="9" t="s">
        <v>93</v>
      </c>
      <c r="E50" s="12">
        <v>474344.56</v>
      </c>
      <c r="F50" s="9" t="s">
        <v>88</v>
      </c>
      <c r="G50" s="9" t="s">
        <v>105</v>
      </c>
      <c r="H50" s="9" t="s">
        <v>90</v>
      </c>
    </row>
    <row r="51" spans="1:8" x14ac:dyDescent="0.3">
      <c r="A51" s="11">
        <v>46036</v>
      </c>
      <c r="B51" s="9" t="s">
        <v>234</v>
      </c>
      <c r="C51" s="9" t="s">
        <v>235</v>
      </c>
      <c r="D51" s="9" t="s">
        <v>236</v>
      </c>
      <c r="E51" s="12">
        <v>64126.26</v>
      </c>
      <c r="F51" s="9" t="s">
        <v>94</v>
      </c>
      <c r="G51" s="9" t="s">
        <v>105</v>
      </c>
      <c r="H51" s="9" t="s">
        <v>90</v>
      </c>
    </row>
    <row r="52" spans="1:8" x14ac:dyDescent="0.3">
      <c r="A52" s="11">
        <v>46036</v>
      </c>
      <c r="B52" s="9" t="s">
        <v>237</v>
      </c>
      <c r="C52" s="9" t="s">
        <v>238</v>
      </c>
      <c r="D52" s="9" t="s">
        <v>239</v>
      </c>
      <c r="E52" s="12">
        <v>169900.34</v>
      </c>
      <c r="F52" s="9" t="s">
        <v>94</v>
      </c>
      <c r="G52" s="9" t="s">
        <v>105</v>
      </c>
      <c r="H52" s="9" t="s">
        <v>109</v>
      </c>
    </row>
    <row r="53" spans="1:8" x14ac:dyDescent="0.3">
      <c r="A53" s="11">
        <v>46036</v>
      </c>
      <c r="B53" s="9" t="s">
        <v>240</v>
      </c>
      <c r="C53" s="9" t="s">
        <v>241</v>
      </c>
      <c r="D53" s="9" t="s">
        <v>242</v>
      </c>
      <c r="E53" s="12">
        <v>141789.68</v>
      </c>
      <c r="F53" s="9" t="s">
        <v>94</v>
      </c>
      <c r="G53" s="9" t="s">
        <v>89</v>
      </c>
      <c r="H53" s="9" t="s">
        <v>90</v>
      </c>
    </row>
    <row r="54" spans="1:8" x14ac:dyDescent="0.3">
      <c r="A54" s="11">
        <v>46036</v>
      </c>
      <c r="B54" s="9" t="s">
        <v>243</v>
      </c>
      <c r="C54" s="9" t="s">
        <v>244</v>
      </c>
      <c r="D54" s="9" t="s">
        <v>245</v>
      </c>
      <c r="E54" s="12">
        <v>155686.03</v>
      </c>
      <c r="F54" s="9" t="s">
        <v>94</v>
      </c>
      <c r="G54" s="9" t="s">
        <v>89</v>
      </c>
      <c r="H54" s="9" t="s">
        <v>109</v>
      </c>
    </row>
    <row r="55" spans="1:8" x14ac:dyDescent="0.3">
      <c r="A55" s="11">
        <v>46036</v>
      </c>
      <c r="B55" s="9" t="s">
        <v>246</v>
      </c>
      <c r="C55" s="9" t="s">
        <v>247</v>
      </c>
      <c r="D55" s="9" t="s">
        <v>248</v>
      </c>
      <c r="E55" s="12">
        <v>173647.7</v>
      </c>
      <c r="F55" s="9" t="s">
        <v>94</v>
      </c>
      <c r="G55" s="9" t="s">
        <v>101</v>
      </c>
      <c r="H55" s="9" t="s">
        <v>90</v>
      </c>
    </row>
    <row r="56" spans="1:8" x14ac:dyDescent="0.3">
      <c r="A56" s="11">
        <v>46037</v>
      </c>
      <c r="B56" s="9" t="s">
        <v>249</v>
      </c>
      <c r="C56" s="9" t="s">
        <v>250</v>
      </c>
      <c r="D56" s="9" t="s">
        <v>228</v>
      </c>
      <c r="E56" s="12">
        <v>4297.3100000000004</v>
      </c>
      <c r="F56" s="9" t="s">
        <v>88</v>
      </c>
      <c r="G56" s="9" t="s">
        <v>101</v>
      </c>
      <c r="H56" s="9" t="s">
        <v>90</v>
      </c>
    </row>
    <row r="57" spans="1:8" x14ac:dyDescent="0.3">
      <c r="A57" s="11">
        <v>46037</v>
      </c>
      <c r="B57" s="9" t="s">
        <v>251</v>
      </c>
      <c r="C57" s="9" t="s">
        <v>252</v>
      </c>
      <c r="D57" s="9" t="s">
        <v>253</v>
      </c>
      <c r="E57" s="12">
        <v>97202.39</v>
      </c>
      <c r="F57" s="9" t="s">
        <v>94</v>
      </c>
      <c r="G57" s="9" t="s">
        <v>105</v>
      </c>
      <c r="H57" s="9" t="s">
        <v>90</v>
      </c>
    </row>
    <row r="58" spans="1:8" x14ac:dyDescent="0.3">
      <c r="A58" s="11">
        <v>46037</v>
      </c>
      <c r="B58" s="9" t="s">
        <v>254</v>
      </c>
      <c r="C58" s="9" t="s">
        <v>255</v>
      </c>
      <c r="D58" s="9" t="s">
        <v>256</v>
      </c>
      <c r="E58" s="12">
        <v>116212.72</v>
      </c>
      <c r="F58" s="9" t="s">
        <v>94</v>
      </c>
      <c r="G58" s="9" t="s">
        <v>101</v>
      </c>
      <c r="H58" s="9" t="s">
        <v>142</v>
      </c>
    </row>
    <row r="59" spans="1:8" x14ac:dyDescent="0.3">
      <c r="A59" s="11">
        <v>46037</v>
      </c>
      <c r="B59" s="9" t="s">
        <v>257</v>
      </c>
      <c r="C59" s="9" t="s">
        <v>258</v>
      </c>
      <c r="D59" s="9" t="s">
        <v>259</v>
      </c>
      <c r="E59" s="12">
        <v>121648.56</v>
      </c>
      <c r="F59" s="9" t="s">
        <v>94</v>
      </c>
      <c r="G59" s="9" t="s">
        <v>101</v>
      </c>
      <c r="H59" s="9" t="s">
        <v>109</v>
      </c>
    </row>
    <row r="60" spans="1:8" x14ac:dyDescent="0.3">
      <c r="A60" s="11">
        <v>46037</v>
      </c>
      <c r="B60" s="9" t="s">
        <v>260</v>
      </c>
      <c r="C60" s="9" t="s">
        <v>261</v>
      </c>
      <c r="D60" s="9" t="s">
        <v>262</v>
      </c>
      <c r="E60" s="12">
        <v>186981.93</v>
      </c>
      <c r="F60" s="9" t="s">
        <v>94</v>
      </c>
      <c r="G60" s="9" t="s">
        <v>105</v>
      </c>
      <c r="H60" s="9" t="s">
        <v>90</v>
      </c>
    </row>
    <row r="61" spans="1:8" x14ac:dyDescent="0.3">
      <c r="A61" s="11">
        <v>46039</v>
      </c>
      <c r="B61" s="9" t="s">
        <v>263</v>
      </c>
      <c r="C61" s="9" t="s">
        <v>264</v>
      </c>
      <c r="D61" s="9" t="s">
        <v>265</v>
      </c>
      <c r="E61" s="12">
        <v>149211.42000000001</v>
      </c>
      <c r="F61" s="9" t="s">
        <v>94</v>
      </c>
      <c r="G61" s="9" t="s">
        <v>89</v>
      </c>
      <c r="H61" s="9" t="s">
        <v>109</v>
      </c>
    </row>
    <row r="62" spans="1:8" x14ac:dyDescent="0.3">
      <c r="A62" s="11">
        <v>46039</v>
      </c>
      <c r="B62" s="9" t="s">
        <v>266</v>
      </c>
      <c r="C62" s="9" t="s">
        <v>267</v>
      </c>
      <c r="D62" s="9" t="s">
        <v>268</v>
      </c>
      <c r="E62" s="12">
        <v>75199.05</v>
      </c>
      <c r="F62" s="9" t="s">
        <v>88</v>
      </c>
      <c r="G62" s="9" t="s">
        <v>89</v>
      </c>
      <c r="H62" s="9" t="s">
        <v>109</v>
      </c>
    </row>
    <row r="63" spans="1:8" x14ac:dyDescent="0.3">
      <c r="A63" s="11">
        <v>46039</v>
      </c>
      <c r="B63" s="9" t="s">
        <v>269</v>
      </c>
      <c r="C63" s="9" t="s">
        <v>270</v>
      </c>
      <c r="D63" s="9" t="s">
        <v>271</v>
      </c>
      <c r="E63" s="12">
        <v>53911.99</v>
      </c>
      <c r="F63" s="9" t="s">
        <v>88</v>
      </c>
      <c r="G63" s="9" t="s">
        <v>101</v>
      </c>
      <c r="H63" s="9" t="s">
        <v>90</v>
      </c>
    </row>
    <row r="64" spans="1:8" x14ac:dyDescent="0.3">
      <c r="A64" s="11">
        <v>46040</v>
      </c>
      <c r="B64" s="9" t="s">
        <v>272</v>
      </c>
      <c r="C64" s="9" t="s">
        <v>273</v>
      </c>
      <c r="D64" s="9" t="s">
        <v>274</v>
      </c>
      <c r="E64" s="12">
        <v>57922.63</v>
      </c>
      <c r="F64" s="9" t="s">
        <v>94</v>
      </c>
      <c r="G64" s="9" t="s">
        <v>89</v>
      </c>
      <c r="H64" s="9" t="s">
        <v>90</v>
      </c>
    </row>
    <row r="65" spans="1:8" x14ac:dyDescent="0.3">
      <c r="A65" s="11">
        <v>46040</v>
      </c>
      <c r="B65" s="9" t="s">
        <v>275</v>
      </c>
      <c r="C65" s="9" t="s">
        <v>276</v>
      </c>
      <c r="D65" s="9" t="s">
        <v>191</v>
      </c>
      <c r="E65" s="12">
        <v>2970.02</v>
      </c>
      <c r="F65" s="9" t="s">
        <v>88</v>
      </c>
      <c r="G65" s="9" t="s">
        <v>113</v>
      </c>
      <c r="H65" s="9" t="s">
        <v>90</v>
      </c>
    </row>
    <row r="66" spans="1:8" x14ac:dyDescent="0.3">
      <c r="A66" s="11">
        <v>46040</v>
      </c>
      <c r="B66" s="9" t="s">
        <v>277</v>
      </c>
      <c r="C66" s="9" t="s">
        <v>278</v>
      </c>
      <c r="D66" s="9" t="s">
        <v>141</v>
      </c>
      <c r="E66" s="12">
        <v>49083.18</v>
      </c>
      <c r="F66" s="9" t="s">
        <v>88</v>
      </c>
      <c r="G66" s="9" t="s">
        <v>113</v>
      </c>
      <c r="H66" s="9" t="s">
        <v>90</v>
      </c>
    </row>
    <row r="67" spans="1:8" x14ac:dyDescent="0.3">
      <c r="A67" s="11">
        <v>46040</v>
      </c>
      <c r="B67" s="9" t="s">
        <v>279</v>
      </c>
      <c r="C67" s="9" t="s">
        <v>280</v>
      </c>
      <c r="D67" s="9" t="s">
        <v>191</v>
      </c>
      <c r="E67" s="12">
        <v>12105.96</v>
      </c>
      <c r="F67" s="9" t="s">
        <v>88</v>
      </c>
      <c r="G67" s="9" t="s">
        <v>105</v>
      </c>
      <c r="H67" s="9" t="s">
        <v>142</v>
      </c>
    </row>
    <row r="68" spans="1:8" x14ac:dyDescent="0.3">
      <c r="A68" s="11">
        <v>46040</v>
      </c>
      <c r="B68" s="9" t="s">
        <v>281</v>
      </c>
      <c r="C68" s="9" t="s">
        <v>282</v>
      </c>
      <c r="D68" s="9" t="s">
        <v>283</v>
      </c>
      <c r="E68" s="12">
        <v>109863.52</v>
      </c>
      <c r="F68" s="9" t="s">
        <v>88</v>
      </c>
      <c r="G68" s="9" t="s">
        <v>89</v>
      </c>
      <c r="H68" s="9" t="s">
        <v>109</v>
      </c>
    </row>
    <row r="69" spans="1:8" x14ac:dyDescent="0.3">
      <c r="A69" s="11">
        <v>46042</v>
      </c>
      <c r="B69" s="9" t="s">
        <v>284</v>
      </c>
      <c r="C69" s="9" t="s">
        <v>285</v>
      </c>
      <c r="D69" s="9" t="s">
        <v>286</v>
      </c>
      <c r="E69" s="12">
        <v>27480.03</v>
      </c>
      <c r="F69" s="9" t="s">
        <v>94</v>
      </c>
      <c r="G69" s="9" t="s">
        <v>105</v>
      </c>
      <c r="H69" s="9" t="s">
        <v>90</v>
      </c>
    </row>
    <row r="70" spans="1:8" x14ac:dyDescent="0.3">
      <c r="A70" s="11">
        <v>46042</v>
      </c>
      <c r="B70" s="9" t="s">
        <v>287</v>
      </c>
      <c r="C70" s="9" t="s">
        <v>288</v>
      </c>
      <c r="D70" s="9" t="s">
        <v>141</v>
      </c>
      <c r="E70" s="12">
        <v>5230.04</v>
      </c>
      <c r="F70" s="9" t="s">
        <v>88</v>
      </c>
      <c r="G70" s="9" t="s">
        <v>89</v>
      </c>
      <c r="H70" s="9" t="s">
        <v>90</v>
      </c>
    </row>
    <row r="71" spans="1:8" x14ac:dyDescent="0.3">
      <c r="A71" s="11">
        <v>46042</v>
      </c>
      <c r="B71" s="9" t="s">
        <v>289</v>
      </c>
      <c r="C71" s="9" t="s">
        <v>290</v>
      </c>
      <c r="D71" s="9" t="s">
        <v>291</v>
      </c>
      <c r="E71" s="12">
        <v>17835.93</v>
      </c>
      <c r="F71" s="9" t="s">
        <v>94</v>
      </c>
      <c r="G71" s="9" t="s">
        <v>105</v>
      </c>
      <c r="H71" s="9" t="s">
        <v>90</v>
      </c>
    </row>
    <row r="72" spans="1:8" x14ac:dyDescent="0.3">
      <c r="A72" s="11">
        <v>46044</v>
      </c>
      <c r="B72" s="9" t="s">
        <v>292</v>
      </c>
      <c r="C72" s="9" t="s">
        <v>293</v>
      </c>
      <c r="D72" s="9" t="s">
        <v>294</v>
      </c>
      <c r="E72" s="12">
        <v>29218.27</v>
      </c>
      <c r="F72" s="9" t="s">
        <v>94</v>
      </c>
      <c r="G72" s="9" t="s">
        <v>105</v>
      </c>
      <c r="H72" s="9" t="s">
        <v>109</v>
      </c>
    </row>
    <row r="73" spans="1:8" x14ac:dyDescent="0.3">
      <c r="A73" s="11">
        <v>46044</v>
      </c>
      <c r="B73" s="9" t="s">
        <v>295</v>
      </c>
      <c r="C73" s="9" t="s">
        <v>296</v>
      </c>
      <c r="D73" s="9" t="s">
        <v>297</v>
      </c>
      <c r="E73" s="12">
        <v>19860.73</v>
      </c>
      <c r="F73" s="9" t="s">
        <v>88</v>
      </c>
      <c r="G73" s="9" t="s">
        <v>105</v>
      </c>
      <c r="H73" s="9" t="s">
        <v>142</v>
      </c>
    </row>
    <row r="74" spans="1:8" x14ac:dyDescent="0.3">
      <c r="A74" s="11">
        <v>46044</v>
      </c>
      <c r="B74" s="9" t="s">
        <v>298</v>
      </c>
      <c r="C74" s="9" t="s">
        <v>299</v>
      </c>
      <c r="D74" s="9" t="s">
        <v>100</v>
      </c>
      <c r="E74" s="12">
        <v>6586.93</v>
      </c>
      <c r="F74" s="9" t="s">
        <v>88</v>
      </c>
      <c r="G74" s="9" t="s">
        <v>89</v>
      </c>
      <c r="H74" s="9" t="s">
        <v>90</v>
      </c>
    </row>
    <row r="75" spans="1:8" x14ac:dyDescent="0.3">
      <c r="A75" s="11">
        <v>46045</v>
      </c>
      <c r="B75" s="9" t="s">
        <v>300</v>
      </c>
      <c r="C75" s="9" t="s">
        <v>301</v>
      </c>
      <c r="D75" s="9" t="s">
        <v>302</v>
      </c>
      <c r="E75" s="12">
        <v>15744.65</v>
      </c>
      <c r="F75" s="9" t="s">
        <v>88</v>
      </c>
      <c r="G75" s="9" t="s">
        <v>101</v>
      </c>
      <c r="H75" s="9" t="s">
        <v>90</v>
      </c>
    </row>
    <row r="76" spans="1:8" x14ac:dyDescent="0.3">
      <c r="A76" s="11">
        <v>46045</v>
      </c>
      <c r="B76" s="9" t="s">
        <v>303</v>
      </c>
      <c r="C76" s="9" t="s">
        <v>304</v>
      </c>
      <c r="D76" s="9" t="s">
        <v>108</v>
      </c>
      <c r="E76" s="12">
        <v>14611.6</v>
      </c>
      <c r="F76" s="9" t="s">
        <v>88</v>
      </c>
      <c r="G76" s="9" t="s">
        <v>113</v>
      </c>
      <c r="H76" s="9" t="s">
        <v>90</v>
      </c>
    </row>
    <row r="77" spans="1:8" x14ac:dyDescent="0.3">
      <c r="A77" s="11">
        <v>46046</v>
      </c>
      <c r="B77" s="9" t="s">
        <v>305</v>
      </c>
      <c r="C77" s="9"/>
      <c r="D77" s="9" t="s">
        <v>306</v>
      </c>
      <c r="E77" s="12">
        <v>95413.85</v>
      </c>
      <c r="F77" s="9" t="s">
        <v>94</v>
      </c>
      <c r="G77" s="9" t="s">
        <v>89</v>
      </c>
      <c r="H77" s="9" t="s">
        <v>142</v>
      </c>
    </row>
    <row r="78" spans="1:8" x14ac:dyDescent="0.3">
      <c r="A78" s="11">
        <v>46046</v>
      </c>
      <c r="B78" s="9" t="s">
        <v>307</v>
      </c>
      <c r="C78" s="9" t="s">
        <v>308</v>
      </c>
      <c r="D78" s="9" t="s">
        <v>309</v>
      </c>
      <c r="E78" s="12">
        <v>37698.93</v>
      </c>
      <c r="F78" s="9" t="s">
        <v>88</v>
      </c>
      <c r="G78" s="9" t="s">
        <v>113</v>
      </c>
      <c r="H78" s="9" t="s">
        <v>90</v>
      </c>
    </row>
    <row r="79" spans="1:8" x14ac:dyDescent="0.3">
      <c r="A79" s="11">
        <v>46047</v>
      </c>
      <c r="B79" s="9" t="s">
        <v>310</v>
      </c>
      <c r="C79" s="9" t="s">
        <v>311</v>
      </c>
      <c r="D79" s="9" t="s">
        <v>312</v>
      </c>
      <c r="E79" s="12">
        <v>131596.01</v>
      </c>
      <c r="F79" s="9" t="s">
        <v>88</v>
      </c>
      <c r="G79" s="9" t="s">
        <v>113</v>
      </c>
      <c r="H79" s="9" t="s">
        <v>90</v>
      </c>
    </row>
    <row r="80" spans="1:8" x14ac:dyDescent="0.3">
      <c r="A80" s="11">
        <v>46047</v>
      </c>
      <c r="B80" s="9" t="s">
        <v>313</v>
      </c>
      <c r="C80" s="9" t="s">
        <v>314</v>
      </c>
      <c r="D80" s="9" t="s">
        <v>315</v>
      </c>
      <c r="E80" s="12">
        <v>122647.09</v>
      </c>
      <c r="F80" s="9" t="s">
        <v>88</v>
      </c>
      <c r="G80" s="9" t="s">
        <v>113</v>
      </c>
      <c r="H80" s="9" t="s">
        <v>90</v>
      </c>
    </row>
    <row r="81" spans="1:8" x14ac:dyDescent="0.3">
      <c r="A81" s="11">
        <v>46048</v>
      </c>
      <c r="B81" s="9" t="s">
        <v>316</v>
      </c>
      <c r="C81" s="9" t="s">
        <v>317</v>
      </c>
      <c r="D81" s="9" t="s">
        <v>318</v>
      </c>
      <c r="E81" s="12">
        <v>103494.91</v>
      </c>
      <c r="F81" s="9" t="s">
        <v>88</v>
      </c>
      <c r="G81" s="9" t="s">
        <v>113</v>
      </c>
      <c r="H81" s="9" t="s">
        <v>90</v>
      </c>
    </row>
    <row r="82" spans="1:8" x14ac:dyDescent="0.3">
      <c r="A82" s="11">
        <v>46048</v>
      </c>
      <c r="B82" s="9" t="s">
        <v>319</v>
      </c>
      <c r="C82" s="9" t="s">
        <v>320</v>
      </c>
      <c r="D82" s="9" t="s">
        <v>321</v>
      </c>
      <c r="E82" s="12">
        <v>93231.48</v>
      </c>
      <c r="F82" s="9" t="s">
        <v>88</v>
      </c>
      <c r="G82" s="9" t="s">
        <v>101</v>
      </c>
      <c r="H82" s="9" t="s">
        <v>109</v>
      </c>
    </row>
    <row r="83" spans="1:8" x14ac:dyDescent="0.3">
      <c r="A83" s="11">
        <v>46049</v>
      </c>
      <c r="B83" s="9" t="s">
        <v>322</v>
      </c>
      <c r="C83" s="9" t="s">
        <v>323</v>
      </c>
      <c r="D83" s="9" t="s">
        <v>208</v>
      </c>
      <c r="E83" s="12">
        <v>3308.07</v>
      </c>
      <c r="F83" s="9" t="s">
        <v>88</v>
      </c>
      <c r="G83" s="9" t="s">
        <v>105</v>
      </c>
      <c r="H83" s="9" t="s">
        <v>142</v>
      </c>
    </row>
    <row r="84" spans="1:8" x14ac:dyDescent="0.3">
      <c r="A84" s="11">
        <v>46049</v>
      </c>
      <c r="B84" s="9" t="s">
        <v>324</v>
      </c>
      <c r="C84" s="9" t="s">
        <v>325</v>
      </c>
      <c r="D84" s="9" t="s">
        <v>326</v>
      </c>
      <c r="E84" s="12">
        <v>68888.179999999993</v>
      </c>
      <c r="F84" s="9" t="s">
        <v>88</v>
      </c>
      <c r="G84" s="9" t="s">
        <v>101</v>
      </c>
      <c r="H84" s="9" t="s">
        <v>90</v>
      </c>
    </row>
    <row r="85" spans="1:8" x14ac:dyDescent="0.3">
      <c r="A85" s="11">
        <v>46050</v>
      </c>
      <c r="B85" s="9" t="s">
        <v>327</v>
      </c>
      <c r="C85" s="9" t="s">
        <v>328</v>
      </c>
      <c r="D85" s="9" t="s">
        <v>329</v>
      </c>
      <c r="E85" s="12">
        <v>26341.82</v>
      </c>
      <c r="F85" s="9" t="s">
        <v>88</v>
      </c>
      <c r="G85" s="9" t="s">
        <v>101</v>
      </c>
      <c r="H85" s="9" t="s">
        <v>90</v>
      </c>
    </row>
    <row r="86" spans="1:8" x14ac:dyDescent="0.3">
      <c r="A86" s="11">
        <v>46050</v>
      </c>
      <c r="B86" s="9" t="s">
        <v>330</v>
      </c>
      <c r="C86" s="9" t="s">
        <v>331</v>
      </c>
      <c r="D86" s="9" t="s">
        <v>332</v>
      </c>
      <c r="E86" s="12">
        <v>165429.22</v>
      </c>
      <c r="F86" s="9" t="s">
        <v>94</v>
      </c>
      <c r="G86" s="9" t="s">
        <v>113</v>
      </c>
      <c r="H86" s="9" t="s">
        <v>90</v>
      </c>
    </row>
    <row r="87" spans="1:8" x14ac:dyDescent="0.3">
      <c r="A87" s="9" t="s">
        <v>333</v>
      </c>
      <c r="B87" s="9" t="s">
        <v>334</v>
      </c>
      <c r="C87" s="9" t="s">
        <v>335</v>
      </c>
      <c r="D87" s="9" t="s">
        <v>336</v>
      </c>
      <c r="E87" s="12">
        <v>44686.76</v>
      </c>
      <c r="F87" s="9" t="s">
        <v>88</v>
      </c>
      <c r="G87" s="9" t="s">
        <v>101</v>
      </c>
      <c r="H87" s="9" t="s">
        <v>90</v>
      </c>
    </row>
    <row r="88" spans="1:8" x14ac:dyDescent="0.3">
      <c r="A88" s="11">
        <v>46050</v>
      </c>
      <c r="B88" s="9" t="s">
        <v>337</v>
      </c>
      <c r="C88" s="9" t="s">
        <v>338</v>
      </c>
      <c r="D88" s="9" t="s">
        <v>339</v>
      </c>
      <c r="E88" s="12">
        <v>29926.36</v>
      </c>
      <c r="F88" s="9" t="s">
        <v>94</v>
      </c>
      <c r="G88" s="9" t="s">
        <v>105</v>
      </c>
      <c r="H88" s="9" t="s">
        <v>142</v>
      </c>
    </row>
    <row r="89" spans="1:8" x14ac:dyDescent="0.3">
      <c r="A89" s="11">
        <v>46050</v>
      </c>
      <c r="B89" s="9" t="s">
        <v>340</v>
      </c>
      <c r="C89" s="9" t="s">
        <v>341</v>
      </c>
      <c r="D89" s="9" t="s">
        <v>342</v>
      </c>
      <c r="E89" s="12">
        <v>46811.55</v>
      </c>
      <c r="F89" s="9" t="s">
        <v>88</v>
      </c>
      <c r="G89" s="9" t="s">
        <v>105</v>
      </c>
      <c r="H89" s="9" t="s">
        <v>142</v>
      </c>
    </row>
    <row r="90" spans="1:8" x14ac:dyDescent="0.3">
      <c r="A90" s="11">
        <v>46051</v>
      </c>
      <c r="B90" s="9" t="s">
        <v>343</v>
      </c>
      <c r="C90" s="9" t="s">
        <v>344</v>
      </c>
      <c r="D90" s="9" t="s">
        <v>345</v>
      </c>
      <c r="E90" s="12">
        <v>91048.27</v>
      </c>
      <c r="F90" s="9" t="s">
        <v>88</v>
      </c>
      <c r="G90" s="9" t="s">
        <v>105</v>
      </c>
      <c r="H90" s="9" t="s">
        <v>90</v>
      </c>
    </row>
    <row r="91" spans="1:8" x14ac:dyDescent="0.3">
      <c r="A91" s="11">
        <v>46052</v>
      </c>
      <c r="B91" s="9" t="s">
        <v>346</v>
      </c>
      <c r="C91" s="9" t="s">
        <v>347</v>
      </c>
      <c r="D91" s="9" t="s">
        <v>228</v>
      </c>
      <c r="E91" s="12">
        <v>47838.14</v>
      </c>
      <c r="F91" s="9" t="s">
        <v>88</v>
      </c>
      <c r="G91" s="9" t="s">
        <v>113</v>
      </c>
      <c r="H91" s="9" t="s">
        <v>142</v>
      </c>
    </row>
    <row r="92" spans="1:8" x14ac:dyDescent="0.3">
      <c r="A92" s="11">
        <v>46052</v>
      </c>
      <c r="B92" s="9" t="s">
        <v>348</v>
      </c>
      <c r="C92" s="9" t="s">
        <v>349</v>
      </c>
      <c r="D92" s="9" t="s">
        <v>141</v>
      </c>
      <c r="E92" s="12">
        <v>35842.949999999997</v>
      </c>
      <c r="F92" s="9" t="s">
        <v>88</v>
      </c>
      <c r="G92" s="9" t="s">
        <v>113</v>
      </c>
      <c r="H92" s="9" t="s">
        <v>109</v>
      </c>
    </row>
    <row r="93" spans="1:8" x14ac:dyDescent="0.3">
      <c r="A93" s="11">
        <v>46052</v>
      </c>
      <c r="B93" s="9" t="s">
        <v>350</v>
      </c>
      <c r="C93" s="9" t="s">
        <v>351</v>
      </c>
      <c r="D93" s="9" t="s">
        <v>352</v>
      </c>
      <c r="E93" s="12">
        <v>71561.820000000007</v>
      </c>
      <c r="F93" s="9" t="s">
        <v>88</v>
      </c>
      <c r="G93" s="9" t="s">
        <v>113</v>
      </c>
      <c r="H93" s="9" t="s">
        <v>109</v>
      </c>
    </row>
    <row r="94" spans="1:8" x14ac:dyDescent="0.3">
      <c r="A94" s="11">
        <v>46052</v>
      </c>
      <c r="B94" s="9" t="s">
        <v>353</v>
      </c>
      <c r="C94" s="9" t="s">
        <v>354</v>
      </c>
      <c r="D94" s="9" t="s">
        <v>108</v>
      </c>
      <c r="E94" s="12">
        <v>2894.67</v>
      </c>
      <c r="F94" s="9" t="s">
        <v>88</v>
      </c>
      <c r="G94" s="9" t="s">
        <v>89</v>
      </c>
      <c r="H94" s="9" t="s">
        <v>90</v>
      </c>
    </row>
    <row r="95" spans="1:8" x14ac:dyDescent="0.3">
      <c r="A95" s="11">
        <v>46052</v>
      </c>
      <c r="B95" s="9" t="s">
        <v>355</v>
      </c>
      <c r="C95" s="9" t="s">
        <v>356</v>
      </c>
      <c r="D95" s="9" t="s">
        <v>93</v>
      </c>
      <c r="E95" s="12">
        <v>426028.69</v>
      </c>
      <c r="F95" s="9" t="s">
        <v>94</v>
      </c>
      <c r="G95" s="9" t="s">
        <v>113</v>
      </c>
      <c r="H95" s="9" t="s">
        <v>142</v>
      </c>
    </row>
    <row r="96" spans="1:8" x14ac:dyDescent="0.3">
      <c r="A96" s="11">
        <v>46052</v>
      </c>
      <c r="B96" s="9" t="s">
        <v>357</v>
      </c>
      <c r="C96" s="9" t="s">
        <v>358</v>
      </c>
      <c r="D96" s="9" t="s">
        <v>359</v>
      </c>
      <c r="E96" s="12">
        <v>120774.62</v>
      </c>
      <c r="F96" s="9" t="s">
        <v>88</v>
      </c>
      <c r="G96" s="9" t="s">
        <v>105</v>
      </c>
      <c r="H96" s="9" t="s">
        <v>90</v>
      </c>
    </row>
    <row r="97" spans="1:8" x14ac:dyDescent="0.3">
      <c r="A97" s="11">
        <v>46053</v>
      </c>
      <c r="B97" s="9" t="s">
        <v>360</v>
      </c>
      <c r="C97" s="9" t="s">
        <v>361</v>
      </c>
      <c r="D97" s="9" t="s">
        <v>362</v>
      </c>
      <c r="E97" s="12">
        <v>47193.5</v>
      </c>
      <c r="F97" s="9" t="s">
        <v>88</v>
      </c>
      <c r="G97" s="9" t="s">
        <v>89</v>
      </c>
      <c r="H97" s="9" t="s">
        <v>142</v>
      </c>
    </row>
    <row r="98" spans="1:8" x14ac:dyDescent="0.3">
      <c r="A98" s="11">
        <v>46053</v>
      </c>
      <c r="B98" s="9" t="s">
        <v>363</v>
      </c>
      <c r="C98" s="9" t="s">
        <v>364</v>
      </c>
      <c r="D98" s="9" t="s">
        <v>365</v>
      </c>
      <c r="E98" s="12">
        <v>23473.55</v>
      </c>
      <c r="F98" s="9" t="s">
        <v>94</v>
      </c>
      <c r="G98" s="9" t="s">
        <v>101</v>
      </c>
      <c r="H98" s="9" t="s">
        <v>142</v>
      </c>
    </row>
    <row r="99" spans="1:8" x14ac:dyDescent="0.3">
      <c r="A99" s="11">
        <v>46053</v>
      </c>
      <c r="B99" s="9" t="s">
        <v>366</v>
      </c>
      <c r="C99" s="9" t="s">
        <v>367</v>
      </c>
      <c r="D99" s="9" t="s">
        <v>368</v>
      </c>
      <c r="E99" s="12">
        <v>165647.28</v>
      </c>
      <c r="F99" s="9" t="s">
        <v>94</v>
      </c>
      <c r="G99" s="9" t="s">
        <v>89</v>
      </c>
      <c r="H99" s="9" t="s">
        <v>90</v>
      </c>
    </row>
    <row r="100" spans="1:8" x14ac:dyDescent="0.3">
      <c r="A100" s="11">
        <v>46053</v>
      </c>
      <c r="B100" s="9" t="s">
        <v>369</v>
      </c>
      <c r="C100" s="9" t="s">
        <v>370</v>
      </c>
      <c r="D100" s="9" t="s">
        <v>371</v>
      </c>
      <c r="E100" s="12">
        <v>6773.94</v>
      </c>
      <c r="F100" s="9" t="s">
        <v>94</v>
      </c>
      <c r="G100" s="9" t="s">
        <v>89</v>
      </c>
      <c r="H100" s="9" t="s">
        <v>90</v>
      </c>
    </row>
    <row r="101" spans="1:8" x14ac:dyDescent="0.3">
      <c r="A101" s="11">
        <v>46053</v>
      </c>
      <c r="B101" s="9" t="s">
        <v>372</v>
      </c>
      <c r="C101" s="9" t="s">
        <v>373</v>
      </c>
      <c r="D101" s="9" t="s">
        <v>374</v>
      </c>
      <c r="E101" s="12">
        <v>99004.64</v>
      </c>
      <c r="F101" s="9" t="s">
        <v>88</v>
      </c>
      <c r="G101" s="9" t="s">
        <v>105</v>
      </c>
      <c r="H101" s="9" t="s">
        <v>109</v>
      </c>
    </row>
    <row r="102" spans="1:8" x14ac:dyDescent="0.3">
      <c r="A102" s="11">
        <v>46053</v>
      </c>
      <c r="B102" s="9" t="s">
        <v>375</v>
      </c>
      <c r="C102" s="9" t="s">
        <v>376</v>
      </c>
      <c r="D102" s="9" t="s">
        <v>377</v>
      </c>
      <c r="E102" s="12">
        <v>116805.42</v>
      </c>
      <c r="F102" s="9" t="s">
        <v>94</v>
      </c>
      <c r="G102" s="9" t="s">
        <v>105</v>
      </c>
      <c r="H102" s="9" t="s">
        <v>90</v>
      </c>
    </row>
    <row r="103" spans="1:8" x14ac:dyDescent="0.3">
      <c r="A103" s="11">
        <v>46053</v>
      </c>
      <c r="B103" s="9" t="s">
        <v>378</v>
      </c>
      <c r="C103" s="9" t="s">
        <v>379</v>
      </c>
      <c r="D103" s="9" t="s">
        <v>380</v>
      </c>
      <c r="E103" s="12">
        <v>65636.36</v>
      </c>
      <c r="F103" s="9" t="s">
        <v>88</v>
      </c>
      <c r="G103" s="9" t="s">
        <v>101</v>
      </c>
      <c r="H103" s="9" t="s">
        <v>90</v>
      </c>
    </row>
    <row r="104" spans="1:8" x14ac:dyDescent="0.3">
      <c r="A104" s="11">
        <v>46053</v>
      </c>
      <c r="B104" s="9" t="s">
        <v>381</v>
      </c>
      <c r="C104" s="9" t="s">
        <v>382</v>
      </c>
      <c r="D104" s="9" t="s">
        <v>383</v>
      </c>
      <c r="E104" s="12">
        <v>15416</v>
      </c>
      <c r="F104" s="9" t="s">
        <v>94</v>
      </c>
      <c r="G104" s="9" t="s">
        <v>101</v>
      </c>
      <c r="H104" s="9" t="s">
        <v>90</v>
      </c>
    </row>
    <row r="105" spans="1:8" x14ac:dyDescent="0.3">
      <c r="A105" s="11">
        <v>46054</v>
      </c>
      <c r="B105" s="9" t="s">
        <v>384</v>
      </c>
      <c r="C105" s="9" t="s">
        <v>385</v>
      </c>
      <c r="D105" s="9" t="s">
        <v>386</v>
      </c>
      <c r="E105" s="12">
        <v>83060.7</v>
      </c>
      <c r="F105" s="9" t="s">
        <v>88</v>
      </c>
      <c r="G105" s="9" t="s">
        <v>105</v>
      </c>
      <c r="H105" s="9" t="s">
        <v>90</v>
      </c>
    </row>
    <row r="106" spans="1:8" x14ac:dyDescent="0.3">
      <c r="A106" s="11">
        <v>46054</v>
      </c>
      <c r="B106" s="9" t="s">
        <v>387</v>
      </c>
      <c r="C106" s="9" t="s">
        <v>388</v>
      </c>
      <c r="D106" s="9" t="s">
        <v>389</v>
      </c>
      <c r="E106" s="12">
        <v>142429.15</v>
      </c>
      <c r="F106" s="9" t="s">
        <v>94</v>
      </c>
      <c r="G106" s="9" t="s">
        <v>113</v>
      </c>
      <c r="H106" s="9" t="s">
        <v>90</v>
      </c>
    </row>
    <row r="107" spans="1:8" x14ac:dyDescent="0.3">
      <c r="A107" s="11">
        <v>46054</v>
      </c>
      <c r="B107" s="9" t="s">
        <v>390</v>
      </c>
      <c r="C107" s="9" t="s">
        <v>391</v>
      </c>
      <c r="D107" s="9" t="s">
        <v>392</v>
      </c>
      <c r="E107" s="12">
        <v>48857.72</v>
      </c>
      <c r="F107" s="9" t="s">
        <v>94</v>
      </c>
      <c r="G107" s="9" t="s">
        <v>105</v>
      </c>
      <c r="H107" s="9" t="s">
        <v>90</v>
      </c>
    </row>
    <row r="108" spans="1:8" x14ac:dyDescent="0.3">
      <c r="A108" s="11">
        <v>46054</v>
      </c>
      <c r="B108" s="9" t="s">
        <v>393</v>
      </c>
      <c r="C108" s="9" t="s">
        <v>394</v>
      </c>
      <c r="D108" s="9" t="s">
        <v>395</v>
      </c>
      <c r="E108" s="12">
        <v>178940.45</v>
      </c>
      <c r="F108" s="9" t="s">
        <v>94</v>
      </c>
      <c r="G108" s="9" t="s">
        <v>101</v>
      </c>
      <c r="H108" s="9" t="s">
        <v>109</v>
      </c>
    </row>
    <row r="109" spans="1:8" x14ac:dyDescent="0.3">
      <c r="A109" s="11">
        <v>46054</v>
      </c>
      <c r="B109" s="9" t="s">
        <v>396</v>
      </c>
      <c r="C109" s="9" t="s">
        <v>397</v>
      </c>
      <c r="D109" s="9" t="s">
        <v>208</v>
      </c>
      <c r="E109" s="12">
        <v>10243.629999999999</v>
      </c>
      <c r="F109" s="9" t="s">
        <v>88</v>
      </c>
      <c r="G109" s="9" t="s">
        <v>113</v>
      </c>
      <c r="H109" s="9" t="s">
        <v>142</v>
      </c>
    </row>
    <row r="110" spans="1:8" x14ac:dyDescent="0.3">
      <c r="A110" s="11">
        <v>46056</v>
      </c>
      <c r="B110" s="9" t="s">
        <v>398</v>
      </c>
      <c r="C110" s="9" t="s">
        <v>399</v>
      </c>
      <c r="D110" s="9" t="s">
        <v>400</v>
      </c>
      <c r="E110" s="12">
        <v>100068.15</v>
      </c>
      <c r="F110" s="9" t="s">
        <v>88</v>
      </c>
      <c r="G110" s="9" t="s">
        <v>105</v>
      </c>
      <c r="H110" s="9" t="s">
        <v>142</v>
      </c>
    </row>
    <row r="111" spans="1:8" x14ac:dyDescent="0.3">
      <c r="A111" s="11">
        <v>46057</v>
      </c>
      <c r="B111" s="9" t="s">
        <v>401</v>
      </c>
      <c r="C111" s="9" t="s">
        <v>402</v>
      </c>
      <c r="D111" s="9" t="s">
        <v>403</v>
      </c>
      <c r="E111" s="12">
        <v>145423.75</v>
      </c>
      <c r="F111" s="9" t="s">
        <v>88</v>
      </c>
      <c r="G111" s="9" t="s">
        <v>89</v>
      </c>
      <c r="H111" s="9" t="s">
        <v>90</v>
      </c>
    </row>
    <row r="112" spans="1:8" x14ac:dyDescent="0.3">
      <c r="A112" s="11">
        <v>46057</v>
      </c>
      <c r="B112" s="9" t="s">
        <v>404</v>
      </c>
      <c r="C112" s="9" t="s">
        <v>405</v>
      </c>
      <c r="D112" s="9" t="s">
        <v>406</v>
      </c>
      <c r="E112" s="12">
        <v>50731.97</v>
      </c>
      <c r="F112" s="9" t="s">
        <v>94</v>
      </c>
      <c r="G112" s="9" t="s">
        <v>89</v>
      </c>
      <c r="H112" s="9" t="s">
        <v>90</v>
      </c>
    </row>
    <row r="113" spans="1:8" x14ac:dyDescent="0.3">
      <c r="A113" s="11">
        <v>46057</v>
      </c>
      <c r="B113" s="9" t="s">
        <v>407</v>
      </c>
      <c r="C113" s="9" t="s">
        <v>408</v>
      </c>
      <c r="D113" s="9" t="s">
        <v>409</v>
      </c>
      <c r="E113" s="12">
        <v>6749.18</v>
      </c>
      <c r="F113" s="9" t="s">
        <v>88</v>
      </c>
      <c r="G113" s="9" t="s">
        <v>113</v>
      </c>
      <c r="H113" s="9" t="s">
        <v>90</v>
      </c>
    </row>
    <row r="114" spans="1:8" x14ac:dyDescent="0.3">
      <c r="A114" s="11">
        <v>46058</v>
      </c>
      <c r="B114" s="9" t="s">
        <v>410</v>
      </c>
      <c r="C114" s="9" t="s">
        <v>411</v>
      </c>
      <c r="D114" s="9" t="s">
        <v>191</v>
      </c>
      <c r="E114" s="12">
        <v>3176.87</v>
      </c>
      <c r="F114" s="9" t="s">
        <v>88</v>
      </c>
      <c r="G114" s="9" t="s">
        <v>105</v>
      </c>
      <c r="H114" s="9" t="s">
        <v>109</v>
      </c>
    </row>
    <row r="115" spans="1:8" x14ac:dyDescent="0.3">
      <c r="A115" s="11">
        <v>46058</v>
      </c>
      <c r="B115" s="9" t="s">
        <v>412</v>
      </c>
      <c r="C115" s="9" t="s">
        <v>413</v>
      </c>
      <c r="D115" s="9" t="s">
        <v>414</v>
      </c>
      <c r="E115" s="12">
        <v>20766.259999999998</v>
      </c>
      <c r="F115" s="9" t="s">
        <v>88</v>
      </c>
      <c r="G115" s="9" t="s">
        <v>105</v>
      </c>
      <c r="H115" s="9" t="s">
        <v>109</v>
      </c>
    </row>
    <row r="116" spans="1:8" x14ac:dyDescent="0.3">
      <c r="A116" s="11">
        <v>46058</v>
      </c>
      <c r="B116" s="9" t="s">
        <v>415</v>
      </c>
      <c r="C116" s="9" t="s">
        <v>416</v>
      </c>
      <c r="D116" s="9" t="s">
        <v>417</v>
      </c>
      <c r="E116" s="12">
        <v>176787.69</v>
      </c>
      <c r="F116" s="9" t="s">
        <v>94</v>
      </c>
      <c r="G116" s="9" t="s">
        <v>101</v>
      </c>
      <c r="H116" s="9" t="s">
        <v>142</v>
      </c>
    </row>
    <row r="117" spans="1:8" x14ac:dyDescent="0.3">
      <c r="A117" s="11">
        <v>46059</v>
      </c>
      <c r="B117" s="9" t="s">
        <v>418</v>
      </c>
      <c r="C117" s="9" t="s">
        <v>419</v>
      </c>
      <c r="D117" s="9" t="s">
        <v>100</v>
      </c>
      <c r="E117" s="12">
        <v>10018.370000000001</v>
      </c>
      <c r="F117" s="9" t="s">
        <v>88</v>
      </c>
      <c r="G117" s="9" t="s">
        <v>105</v>
      </c>
      <c r="H117" s="9" t="s">
        <v>90</v>
      </c>
    </row>
    <row r="118" spans="1:8" x14ac:dyDescent="0.3">
      <c r="A118" s="11">
        <v>46059</v>
      </c>
      <c r="B118" s="9" t="s">
        <v>420</v>
      </c>
      <c r="C118" s="9" t="s">
        <v>421</v>
      </c>
      <c r="D118" s="9" t="s">
        <v>329</v>
      </c>
      <c r="E118" s="12">
        <v>33483.31</v>
      </c>
      <c r="F118" s="9" t="s">
        <v>88</v>
      </c>
      <c r="G118" s="9" t="s">
        <v>105</v>
      </c>
      <c r="H118" s="9" t="s">
        <v>90</v>
      </c>
    </row>
    <row r="119" spans="1:8" x14ac:dyDescent="0.3">
      <c r="A119" s="11">
        <v>46059</v>
      </c>
      <c r="B119" s="9" t="s">
        <v>422</v>
      </c>
      <c r="C119" s="9" t="s">
        <v>423</v>
      </c>
      <c r="D119" s="9" t="s">
        <v>424</v>
      </c>
      <c r="E119" s="12">
        <v>141792.43</v>
      </c>
      <c r="F119" s="9" t="s">
        <v>88</v>
      </c>
      <c r="G119" s="9" t="s">
        <v>89</v>
      </c>
      <c r="H119" s="9" t="s">
        <v>90</v>
      </c>
    </row>
    <row r="120" spans="1:8" x14ac:dyDescent="0.3">
      <c r="A120" s="11">
        <v>46060</v>
      </c>
      <c r="B120" s="9" t="s">
        <v>425</v>
      </c>
      <c r="C120" s="9" t="s">
        <v>426</v>
      </c>
      <c r="D120" s="9" t="s">
        <v>208</v>
      </c>
      <c r="E120" s="12">
        <v>42796.800000000003</v>
      </c>
      <c r="F120" s="9" t="s">
        <v>88</v>
      </c>
      <c r="G120" s="9" t="s">
        <v>105</v>
      </c>
      <c r="H120" s="9" t="s">
        <v>109</v>
      </c>
    </row>
    <row r="121" spans="1:8" x14ac:dyDescent="0.3">
      <c r="A121" s="11">
        <v>46060</v>
      </c>
      <c r="B121" s="9" t="s">
        <v>427</v>
      </c>
      <c r="C121" s="9" t="s">
        <v>428</v>
      </c>
      <c r="D121" s="9" t="s">
        <v>108</v>
      </c>
      <c r="E121" s="12">
        <v>27225.48</v>
      </c>
      <c r="F121" s="9" t="s">
        <v>88</v>
      </c>
      <c r="G121" s="9" t="s">
        <v>89</v>
      </c>
      <c r="H121" s="9" t="s">
        <v>90</v>
      </c>
    </row>
    <row r="122" spans="1:8" x14ac:dyDescent="0.3">
      <c r="A122" s="11">
        <v>46061</v>
      </c>
      <c r="B122" s="9" t="s">
        <v>429</v>
      </c>
      <c r="C122" s="9" t="s">
        <v>430</v>
      </c>
      <c r="D122" s="9" t="s">
        <v>431</v>
      </c>
      <c r="E122" s="12">
        <v>15916.97</v>
      </c>
      <c r="F122" s="9" t="s">
        <v>94</v>
      </c>
      <c r="G122" s="9" t="s">
        <v>113</v>
      </c>
      <c r="H122" s="9" t="s">
        <v>90</v>
      </c>
    </row>
    <row r="123" spans="1:8" x14ac:dyDescent="0.3">
      <c r="A123" s="11">
        <v>46061</v>
      </c>
      <c r="B123" s="9" t="s">
        <v>432</v>
      </c>
      <c r="C123" s="9" t="s">
        <v>433</v>
      </c>
      <c r="D123" s="9" t="s">
        <v>434</v>
      </c>
      <c r="E123" s="12">
        <v>197201.28</v>
      </c>
      <c r="F123" s="9" t="s">
        <v>94</v>
      </c>
      <c r="G123" s="9" t="s">
        <v>113</v>
      </c>
      <c r="H123" s="9" t="s">
        <v>90</v>
      </c>
    </row>
    <row r="124" spans="1:8" x14ac:dyDescent="0.3">
      <c r="A124" s="11">
        <v>46061</v>
      </c>
      <c r="B124" s="9" t="s">
        <v>435</v>
      </c>
      <c r="C124" s="9" t="s">
        <v>436</v>
      </c>
      <c r="D124" s="9" t="s">
        <v>437</v>
      </c>
      <c r="E124" s="12">
        <v>15333.7</v>
      </c>
      <c r="F124" s="9" t="s">
        <v>94</v>
      </c>
      <c r="G124" s="9" t="s">
        <v>105</v>
      </c>
      <c r="H124" s="9" t="s">
        <v>90</v>
      </c>
    </row>
    <row r="125" spans="1:8" x14ac:dyDescent="0.3">
      <c r="A125" s="11">
        <v>46061</v>
      </c>
      <c r="B125" s="9" t="s">
        <v>438</v>
      </c>
      <c r="C125" s="9" t="s">
        <v>439</v>
      </c>
      <c r="D125" s="9" t="s">
        <v>208</v>
      </c>
      <c r="E125" s="12">
        <v>10199.06</v>
      </c>
      <c r="F125" s="9" t="s">
        <v>88</v>
      </c>
      <c r="G125" s="9" t="s">
        <v>105</v>
      </c>
      <c r="H125" s="9" t="s">
        <v>90</v>
      </c>
    </row>
    <row r="126" spans="1:8" x14ac:dyDescent="0.3">
      <c r="A126" s="11">
        <v>46061</v>
      </c>
      <c r="B126" s="9" t="s">
        <v>440</v>
      </c>
      <c r="C126" s="9" t="s">
        <v>441</v>
      </c>
      <c r="D126" s="9" t="s">
        <v>442</v>
      </c>
      <c r="E126" s="12">
        <v>19601.61</v>
      </c>
      <c r="F126" s="9" t="s">
        <v>88</v>
      </c>
      <c r="G126" s="9" t="s">
        <v>89</v>
      </c>
      <c r="H126" s="9" t="s">
        <v>90</v>
      </c>
    </row>
    <row r="127" spans="1:8" x14ac:dyDescent="0.3">
      <c r="A127" s="11">
        <v>46062</v>
      </c>
      <c r="B127" s="9" t="s">
        <v>443</v>
      </c>
      <c r="C127" s="9" t="s">
        <v>444</v>
      </c>
      <c r="D127" s="9" t="s">
        <v>445</v>
      </c>
      <c r="E127" s="12">
        <v>50043.41</v>
      </c>
      <c r="F127" s="9" t="s">
        <v>94</v>
      </c>
      <c r="G127" s="9" t="s">
        <v>89</v>
      </c>
      <c r="H127" s="9" t="s">
        <v>90</v>
      </c>
    </row>
    <row r="128" spans="1:8" x14ac:dyDescent="0.3">
      <c r="A128" s="11">
        <v>46062</v>
      </c>
      <c r="B128" s="9" t="s">
        <v>446</v>
      </c>
      <c r="C128" s="9" t="s">
        <v>447</v>
      </c>
      <c r="D128" s="9" t="s">
        <v>448</v>
      </c>
      <c r="E128" s="12">
        <v>77863.850000000006</v>
      </c>
      <c r="F128" s="9" t="s">
        <v>88</v>
      </c>
      <c r="G128" s="9" t="s">
        <v>105</v>
      </c>
      <c r="H128" s="9" t="s">
        <v>90</v>
      </c>
    </row>
    <row r="129" spans="1:8" x14ac:dyDescent="0.3">
      <c r="A129" s="11">
        <v>46063</v>
      </c>
      <c r="B129" s="9" t="s">
        <v>449</v>
      </c>
      <c r="C129" s="9" t="s">
        <v>450</v>
      </c>
      <c r="D129" s="9" t="s">
        <v>451</v>
      </c>
      <c r="E129" s="12">
        <v>50488.45</v>
      </c>
      <c r="F129" s="9" t="s">
        <v>94</v>
      </c>
      <c r="G129" s="9" t="s">
        <v>101</v>
      </c>
      <c r="H129" s="9" t="s">
        <v>90</v>
      </c>
    </row>
    <row r="130" spans="1:8" x14ac:dyDescent="0.3">
      <c r="A130" s="11">
        <v>46063</v>
      </c>
      <c r="B130" s="9" t="s">
        <v>452</v>
      </c>
      <c r="C130" s="9" t="s">
        <v>453</v>
      </c>
      <c r="D130" s="9" t="s">
        <v>208</v>
      </c>
      <c r="E130" s="12">
        <v>26597.26</v>
      </c>
      <c r="F130" s="9" t="s">
        <v>88</v>
      </c>
      <c r="G130" s="9" t="s">
        <v>105</v>
      </c>
      <c r="H130" s="9" t="s">
        <v>90</v>
      </c>
    </row>
    <row r="131" spans="1:8" x14ac:dyDescent="0.3">
      <c r="A131" s="11">
        <v>46063</v>
      </c>
      <c r="B131" s="9" t="s">
        <v>454</v>
      </c>
      <c r="C131" s="9" t="s">
        <v>455</v>
      </c>
      <c r="D131" s="9" t="s">
        <v>456</v>
      </c>
      <c r="E131" s="12">
        <v>32930.410000000003</v>
      </c>
      <c r="F131" s="9" t="s">
        <v>88</v>
      </c>
      <c r="G131" s="9" t="s">
        <v>101</v>
      </c>
      <c r="H131" s="9" t="s">
        <v>90</v>
      </c>
    </row>
    <row r="132" spans="1:8" x14ac:dyDescent="0.3">
      <c r="A132" s="11">
        <v>46063</v>
      </c>
      <c r="B132" s="9" t="s">
        <v>457</v>
      </c>
      <c r="C132" s="9" t="s">
        <v>458</v>
      </c>
      <c r="D132" s="9" t="s">
        <v>108</v>
      </c>
      <c r="E132" s="12">
        <v>9207.18</v>
      </c>
      <c r="F132" s="9" t="s">
        <v>88</v>
      </c>
      <c r="G132" s="9" t="s">
        <v>105</v>
      </c>
      <c r="H132" s="9" t="s">
        <v>90</v>
      </c>
    </row>
    <row r="133" spans="1:8" x14ac:dyDescent="0.3">
      <c r="A133" s="11">
        <v>46064</v>
      </c>
      <c r="B133" s="9" t="s">
        <v>459</v>
      </c>
      <c r="C133" s="9" t="s">
        <v>460</v>
      </c>
      <c r="D133" s="9" t="s">
        <v>461</v>
      </c>
      <c r="E133" s="12">
        <v>174860.21</v>
      </c>
      <c r="F133" s="9" t="s">
        <v>94</v>
      </c>
      <c r="G133" s="9" t="s">
        <v>101</v>
      </c>
      <c r="H133" s="9" t="s">
        <v>90</v>
      </c>
    </row>
    <row r="134" spans="1:8" x14ac:dyDescent="0.3">
      <c r="A134" s="11">
        <v>46064</v>
      </c>
      <c r="B134" s="9" t="s">
        <v>462</v>
      </c>
      <c r="C134" s="9" t="s">
        <v>463</v>
      </c>
      <c r="D134" s="9" t="s">
        <v>464</v>
      </c>
      <c r="E134" s="12">
        <v>53389.38</v>
      </c>
      <c r="F134" s="9" t="s">
        <v>88</v>
      </c>
      <c r="G134" s="9" t="s">
        <v>105</v>
      </c>
      <c r="H134" s="9" t="s">
        <v>142</v>
      </c>
    </row>
    <row r="135" spans="1:8" x14ac:dyDescent="0.3">
      <c r="A135" s="11">
        <v>46065</v>
      </c>
      <c r="B135" s="9" t="s">
        <v>465</v>
      </c>
      <c r="C135" s="9" t="s">
        <v>466</v>
      </c>
      <c r="D135" s="9" t="s">
        <v>467</v>
      </c>
      <c r="E135" s="12">
        <v>103023.54</v>
      </c>
      <c r="F135" s="9" t="s">
        <v>94</v>
      </c>
      <c r="G135" s="9" t="s">
        <v>101</v>
      </c>
      <c r="H135" s="9" t="s">
        <v>90</v>
      </c>
    </row>
    <row r="136" spans="1:8" x14ac:dyDescent="0.3">
      <c r="A136" s="11">
        <v>46065</v>
      </c>
      <c r="B136" s="9" t="s">
        <v>468</v>
      </c>
      <c r="C136" s="9" t="s">
        <v>469</v>
      </c>
      <c r="D136" s="9" t="s">
        <v>208</v>
      </c>
      <c r="E136" s="12">
        <v>48931.199999999997</v>
      </c>
      <c r="F136" s="9" t="s">
        <v>88</v>
      </c>
      <c r="G136" s="9" t="s">
        <v>89</v>
      </c>
      <c r="H136" s="9" t="s">
        <v>90</v>
      </c>
    </row>
    <row r="137" spans="1:8" x14ac:dyDescent="0.3">
      <c r="A137" s="11">
        <v>46065</v>
      </c>
      <c r="B137" s="9" t="s">
        <v>470</v>
      </c>
      <c r="C137" s="9"/>
      <c r="D137" s="9" t="s">
        <v>471</v>
      </c>
      <c r="E137" s="12">
        <v>41285.31</v>
      </c>
      <c r="F137" s="9" t="s">
        <v>94</v>
      </c>
      <c r="G137" s="9" t="s">
        <v>113</v>
      </c>
      <c r="H137" s="9" t="s">
        <v>90</v>
      </c>
    </row>
    <row r="138" spans="1:8" x14ac:dyDescent="0.3">
      <c r="A138" s="11">
        <v>46065</v>
      </c>
      <c r="B138" s="9" t="s">
        <v>472</v>
      </c>
      <c r="C138" s="9" t="s">
        <v>473</v>
      </c>
      <c r="D138" s="9" t="s">
        <v>141</v>
      </c>
      <c r="E138" s="12">
        <v>1355.83</v>
      </c>
      <c r="F138" s="9" t="s">
        <v>88</v>
      </c>
      <c r="G138" s="9" t="s">
        <v>105</v>
      </c>
      <c r="H138" s="9" t="s">
        <v>90</v>
      </c>
    </row>
    <row r="139" spans="1:8" x14ac:dyDescent="0.3">
      <c r="A139" s="11">
        <v>46065</v>
      </c>
      <c r="B139" s="9" t="s">
        <v>474</v>
      </c>
      <c r="C139" s="9" t="s">
        <v>475</v>
      </c>
      <c r="D139" s="9" t="s">
        <v>476</v>
      </c>
      <c r="E139" s="12">
        <v>81210.539999999994</v>
      </c>
      <c r="F139" s="9" t="s">
        <v>94</v>
      </c>
      <c r="G139" s="9" t="s">
        <v>113</v>
      </c>
      <c r="H139" s="9" t="s">
        <v>90</v>
      </c>
    </row>
    <row r="140" spans="1:8" x14ac:dyDescent="0.3">
      <c r="A140" s="11">
        <v>46066</v>
      </c>
      <c r="B140" s="9" t="s">
        <v>477</v>
      </c>
      <c r="C140" s="9" t="s">
        <v>478</v>
      </c>
      <c r="D140" s="9" t="s">
        <v>479</v>
      </c>
      <c r="E140" s="12">
        <v>97374.9</v>
      </c>
      <c r="F140" s="9" t="s">
        <v>88</v>
      </c>
      <c r="G140" s="9" t="s">
        <v>101</v>
      </c>
      <c r="H140" s="9" t="s">
        <v>90</v>
      </c>
    </row>
    <row r="141" spans="1:8" x14ac:dyDescent="0.3">
      <c r="A141" s="11">
        <v>46066</v>
      </c>
      <c r="B141" s="9" t="s">
        <v>480</v>
      </c>
      <c r="C141" s="9" t="s">
        <v>481</v>
      </c>
      <c r="D141" s="9" t="s">
        <v>482</v>
      </c>
      <c r="E141" s="12">
        <v>165398.59</v>
      </c>
      <c r="F141" s="9" t="s">
        <v>94</v>
      </c>
      <c r="G141" s="9" t="s">
        <v>105</v>
      </c>
      <c r="H141" s="9" t="s">
        <v>90</v>
      </c>
    </row>
    <row r="142" spans="1:8" x14ac:dyDescent="0.3">
      <c r="A142" s="11">
        <v>46066</v>
      </c>
      <c r="B142" s="9" t="s">
        <v>483</v>
      </c>
      <c r="C142" s="9" t="s">
        <v>484</v>
      </c>
      <c r="D142" s="9" t="s">
        <v>485</v>
      </c>
      <c r="E142" s="12">
        <v>69738.67</v>
      </c>
      <c r="F142" s="9" t="s">
        <v>88</v>
      </c>
      <c r="G142" s="9" t="s">
        <v>113</v>
      </c>
      <c r="H142" s="9" t="s">
        <v>90</v>
      </c>
    </row>
    <row r="143" spans="1:8" x14ac:dyDescent="0.3">
      <c r="A143" s="11">
        <v>46066</v>
      </c>
      <c r="B143" s="9" t="s">
        <v>486</v>
      </c>
      <c r="C143" s="9" t="s">
        <v>487</v>
      </c>
      <c r="D143" s="9" t="s">
        <v>93</v>
      </c>
      <c r="E143" s="12">
        <v>60453.120000000003</v>
      </c>
      <c r="F143" s="9" t="s">
        <v>88</v>
      </c>
      <c r="G143" s="9" t="s">
        <v>101</v>
      </c>
      <c r="H143" s="9" t="s">
        <v>90</v>
      </c>
    </row>
    <row r="144" spans="1:8" x14ac:dyDescent="0.3">
      <c r="A144" s="11">
        <v>46067</v>
      </c>
      <c r="B144" s="9" t="s">
        <v>488</v>
      </c>
      <c r="C144" s="9" t="s">
        <v>489</v>
      </c>
      <c r="D144" s="9" t="s">
        <v>191</v>
      </c>
      <c r="E144" s="12">
        <v>47724.79</v>
      </c>
      <c r="F144" s="9" t="s">
        <v>88</v>
      </c>
      <c r="G144" s="9" t="s">
        <v>101</v>
      </c>
      <c r="H144" s="9" t="s">
        <v>90</v>
      </c>
    </row>
    <row r="145" spans="1:8" x14ac:dyDescent="0.3">
      <c r="A145" s="11">
        <v>46067</v>
      </c>
      <c r="B145" s="9" t="s">
        <v>490</v>
      </c>
      <c r="C145" s="9" t="s">
        <v>491</v>
      </c>
      <c r="D145" s="9" t="s">
        <v>492</v>
      </c>
      <c r="E145" s="12">
        <v>49412.36</v>
      </c>
      <c r="F145" s="9" t="s">
        <v>94</v>
      </c>
      <c r="G145" s="9" t="s">
        <v>101</v>
      </c>
      <c r="H145" s="9" t="s">
        <v>90</v>
      </c>
    </row>
    <row r="146" spans="1:8" x14ac:dyDescent="0.3">
      <c r="A146" s="11">
        <v>46067</v>
      </c>
      <c r="B146" s="9" t="s">
        <v>493</v>
      </c>
      <c r="C146" s="9" t="s">
        <v>494</v>
      </c>
      <c r="D146" s="9" t="s">
        <v>495</v>
      </c>
      <c r="E146" s="12">
        <v>136988.89000000001</v>
      </c>
      <c r="F146" s="9" t="s">
        <v>88</v>
      </c>
      <c r="G146" s="9" t="s">
        <v>105</v>
      </c>
      <c r="H146" s="9" t="s">
        <v>90</v>
      </c>
    </row>
    <row r="147" spans="1:8" x14ac:dyDescent="0.3">
      <c r="A147" s="9" t="s">
        <v>496</v>
      </c>
      <c r="B147" s="9" t="s">
        <v>497</v>
      </c>
      <c r="C147" s="9" t="s">
        <v>498</v>
      </c>
      <c r="D147" s="9" t="s">
        <v>220</v>
      </c>
      <c r="E147" s="12">
        <v>16558.09</v>
      </c>
      <c r="F147" s="9" t="s">
        <v>88</v>
      </c>
      <c r="G147" s="9" t="s">
        <v>105</v>
      </c>
      <c r="H147" s="9" t="s">
        <v>142</v>
      </c>
    </row>
    <row r="148" spans="1:8" x14ac:dyDescent="0.3">
      <c r="A148" s="11">
        <v>46068</v>
      </c>
      <c r="B148" s="9" t="s">
        <v>499</v>
      </c>
      <c r="C148" s="9" t="s">
        <v>500</v>
      </c>
      <c r="D148" s="9" t="s">
        <v>100</v>
      </c>
      <c r="E148" s="12">
        <v>18571.900000000001</v>
      </c>
      <c r="F148" s="9" t="s">
        <v>88</v>
      </c>
      <c r="G148" s="9" t="s">
        <v>105</v>
      </c>
      <c r="H148" s="9" t="s">
        <v>90</v>
      </c>
    </row>
    <row r="149" spans="1:8" x14ac:dyDescent="0.3">
      <c r="A149" s="11">
        <v>46068</v>
      </c>
      <c r="B149" s="9" t="s">
        <v>501</v>
      </c>
      <c r="C149" s="9" t="s">
        <v>502</v>
      </c>
      <c r="D149" s="9" t="s">
        <v>503</v>
      </c>
      <c r="E149" s="12">
        <v>147151.29</v>
      </c>
      <c r="F149" s="9" t="s">
        <v>88</v>
      </c>
      <c r="G149" s="9" t="s">
        <v>105</v>
      </c>
      <c r="H149" s="9" t="s">
        <v>90</v>
      </c>
    </row>
    <row r="150" spans="1:8" x14ac:dyDescent="0.3">
      <c r="A150" s="11">
        <v>46069</v>
      </c>
      <c r="B150" s="9" t="s">
        <v>504</v>
      </c>
      <c r="C150" s="9" t="s">
        <v>505</v>
      </c>
      <c r="D150" s="9" t="s">
        <v>108</v>
      </c>
      <c r="E150" s="12">
        <v>6339.69</v>
      </c>
      <c r="F150" s="9" t="s">
        <v>88</v>
      </c>
      <c r="G150" s="9" t="s">
        <v>89</v>
      </c>
      <c r="H150" s="9" t="s">
        <v>142</v>
      </c>
    </row>
    <row r="151" spans="1:8" x14ac:dyDescent="0.3">
      <c r="A151" s="11">
        <v>46069</v>
      </c>
      <c r="B151" s="9" t="s">
        <v>506</v>
      </c>
      <c r="C151" s="9" t="s">
        <v>507</v>
      </c>
      <c r="D151" s="9" t="s">
        <v>508</v>
      </c>
      <c r="E151" s="12">
        <v>78008.91</v>
      </c>
      <c r="F151" s="9" t="s">
        <v>94</v>
      </c>
      <c r="G151" s="9" t="s">
        <v>105</v>
      </c>
      <c r="H151" s="9" t="s">
        <v>142</v>
      </c>
    </row>
    <row r="152" spans="1:8" x14ac:dyDescent="0.3">
      <c r="A152" s="11">
        <v>46069</v>
      </c>
      <c r="B152" s="9" t="s">
        <v>509</v>
      </c>
      <c r="C152" s="9" t="s">
        <v>510</v>
      </c>
      <c r="D152" s="9" t="s">
        <v>220</v>
      </c>
      <c r="E152" s="12">
        <v>695.9</v>
      </c>
      <c r="F152" s="9" t="s">
        <v>88</v>
      </c>
      <c r="G152" s="9" t="s">
        <v>89</v>
      </c>
      <c r="H152" s="9" t="s">
        <v>109</v>
      </c>
    </row>
    <row r="153" spans="1:8" x14ac:dyDescent="0.3">
      <c r="A153" s="11">
        <v>46069</v>
      </c>
      <c r="B153" s="9" t="s">
        <v>511</v>
      </c>
      <c r="C153" s="9" t="s">
        <v>512</v>
      </c>
      <c r="D153" s="9" t="s">
        <v>93</v>
      </c>
      <c r="E153" s="12">
        <v>185520.46</v>
      </c>
      <c r="F153" s="9" t="s">
        <v>94</v>
      </c>
      <c r="G153" s="9" t="s">
        <v>89</v>
      </c>
      <c r="H153" s="9" t="s">
        <v>109</v>
      </c>
    </row>
    <row r="154" spans="1:8" x14ac:dyDescent="0.3">
      <c r="A154" s="11">
        <v>46069</v>
      </c>
      <c r="B154" s="9" t="s">
        <v>513</v>
      </c>
      <c r="C154" s="9" t="s">
        <v>514</v>
      </c>
      <c r="D154" s="9" t="s">
        <v>515</v>
      </c>
      <c r="E154" s="12">
        <v>128943.28</v>
      </c>
      <c r="F154" s="9" t="s">
        <v>88</v>
      </c>
      <c r="G154" s="9" t="s">
        <v>105</v>
      </c>
      <c r="H154" s="9" t="s">
        <v>90</v>
      </c>
    </row>
    <row r="155" spans="1:8" x14ac:dyDescent="0.3">
      <c r="A155" s="11">
        <v>46069</v>
      </c>
      <c r="B155" s="9" t="s">
        <v>516</v>
      </c>
      <c r="C155" s="9" t="s">
        <v>517</v>
      </c>
      <c r="D155" s="9" t="s">
        <v>518</v>
      </c>
      <c r="E155" s="12">
        <v>13509.78</v>
      </c>
      <c r="F155" s="9" t="s">
        <v>88</v>
      </c>
      <c r="G155" s="9" t="s">
        <v>113</v>
      </c>
      <c r="H155" s="9" t="s">
        <v>90</v>
      </c>
    </row>
    <row r="156" spans="1:8" x14ac:dyDescent="0.3">
      <c r="A156" s="11">
        <v>46069</v>
      </c>
      <c r="B156" s="9" t="s">
        <v>519</v>
      </c>
      <c r="C156" s="9" t="s">
        <v>520</v>
      </c>
      <c r="D156" s="9" t="s">
        <v>141</v>
      </c>
      <c r="E156" s="12">
        <v>1307.29</v>
      </c>
      <c r="F156" s="9" t="s">
        <v>88</v>
      </c>
      <c r="G156" s="9" t="s">
        <v>113</v>
      </c>
      <c r="H156" s="9" t="s">
        <v>90</v>
      </c>
    </row>
    <row r="157" spans="1:8" x14ac:dyDescent="0.3">
      <c r="A157" s="11">
        <v>46069</v>
      </c>
      <c r="B157" s="9" t="s">
        <v>521</v>
      </c>
      <c r="C157" s="9" t="s">
        <v>522</v>
      </c>
      <c r="D157" s="9" t="s">
        <v>523</v>
      </c>
      <c r="E157" s="12">
        <v>115144.73</v>
      </c>
      <c r="F157" s="9" t="s">
        <v>88</v>
      </c>
      <c r="G157" s="9" t="s">
        <v>101</v>
      </c>
      <c r="H157" s="9" t="s">
        <v>142</v>
      </c>
    </row>
    <row r="158" spans="1:8" x14ac:dyDescent="0.3">
      <c r="A158" s="11">
        <v>46069</v>
      </c>
      <c r="B158" s="9" t="s">
        <v>524</v>
      </c>
      <c r="C158" s="9" t="s">
        <v>525</v>
      </c>
      <c r="D158" s="9" t="s">
        <v>526</v>
      </c>
      <c r="E158" s="12">
        <v>110133.5</v>
      </c>
      <c r="F158" s="9" t="s">
        <v>94</v>
      </c>
      <c r="G158" s="9" t="s">
        <v>89</v>
      </c>
      <c r="H158" s="9" t="s">
        <v>90</v>
      </c>
    </row>
    <row r="159" spans="1:8" x14ac:dyDescent="0.3">
      <c r="A159" s="11">
        <v>46070</v>
      </c>
      <c r="B159" s="9" t="s">
        <v>527</v>
      </c>
      <c r="C159" s="9" t="s">
        <v>528</v>
      </c>
      <c r="D159" s="9" t="s">
        <v>529</v>
      </c>
      <c r="E159" s="12">
        <v>181245.68</v>
      </c>
      <c r="F159" s="9" t="s">
        <v>94</v>
      </c>
      <c r="G159" s="9" t="s">
        <v>89</v>
      </c>
      <c r="H159" s="9" t="s">
        <v>90</v>
      </c>
    </row>
    <row r="160" spans="1:8" x14ac:dyDescent="0.3">
      <c r="A160" s="11">
        <v>46070</v>
      </c>
      <c r="B160" s="9" t="s">
        <v>530</v>
      </c>
      <c r="C160" s="9" t="s">
        <v>531</v>
      </c>
      <c r="D160" s="9" t="s">
        <v>532</v>
      </c>
      <c r="E160" s="12">
        <v>36748.480000000003</v>
      </c>
      <c r="F160" s="9" t="s">
        <v>94</v>
      </c>
      <c r="G160" s="9" t="s">
        <v>89</v>
      </c>
      <c r="H160" s="9" t="s">
        <v>90</v>
      </c>
    </row>
    <row r="161" spans="1:8" x14ac:dyDescent="0.3">
      <c r="A161" s="11">
        <v>46070</v>
      </c>
      <c r="B161" s="9" t="s">
        <v>533</v>
      </c>
      <c r="C161" s="9" t="s">
        <v>534</v>
      </c>
      <c r="D161" s="9" t="s">
        <v>535</v>
      </c>
      <c r="E161" s="12">
        <v>191548.29</v>
      </c>
      <c r="F161" s="9" t="s">
        <v>94</v>
      </c>
      <c r="G161" s="9" t="s">
        <v>113</v>
      </c>
      <c r="H161" s="9" t="s">
        <v>142</v>
      </c>
    </row>
    <row r="162" spans="1:8" x14ac:dyDescent="0.3">
      <c r="A162" s="11">
        <v>46071</v>
      </c>
      <c r="B162" s="9" t="s">
        <v>536</v>
      </c>
      <c r="C162" s="9" t="s">
        <v>537</v>
      </c>
      <c r="D162" s="9" t="s">
        <v>538</v>
      </c>
      <c r="E162" s="12">
        <v>133678.72</v>
      </c>
      <c r="F162" s="9" t="s">
        <v>94</v>
      </c>
      <c r="G162" s="9" t="s">
        <v>89</v>
      </c>
      <c r="H162" s="9" t="s">
        <v>142</v>
      </c>
    </row>
    <row r="163" spans="1:8" x14ac:dyDescent="0.3">
      <c r="A163" s="11">
        <v>46071</v>
      </c>
      <c r="B163" s="9" t="s">
        <v>539</v>
      </c>
      <c r="C163" s="9" t="s">
        <v>540</v>
      </c>
      <c r="D163" s="9" t="s">
        <v>541</v>
      </c>
      <c r="E163" s="12">
        <v>12530.29</v>
      </c>
      <c r="F163" s="9" t="s">
        <v>88</v>
      </c>
      <c r="G163" s="9" t="s">
        <v>89</v>
      </c>
      <c r="H163" s="9" t="s">
        <v>142</v>
      </c>
    </row>
    <row r="164" spans="1:8" x14ac:dyDescent="0.3">
      <c r="A164" s="11">
        <v>46071</v>
      </c>
      <c r="B164" s="9" t="s">
        <v>542</v>
      </c>
      <c r="C164" s="9" t="s">
        <v>543</v>
      </c>
      <c r="D164" s="9" t="s">
        <v>93</v>
      </c>
      <c r="E164" s="12">
        <v>31002.39</v>
      </c>
      <c r="F164" s="9" t="s">
        <v>88</v>
      </c>
      <c r="G164" s="9" t="s">
        <v>113</v>
      </c>
      <c r="H164" s="9" t="s">
        <v>90</v>
      </c>
    </row>
    <row r="165" spans="1:8" x14ac:dyDescent="0.3">
      <c r="A165" s="11">
        <v>46071</v>
      </c>
      <c r="B165" s="9" t="s">
        <v>544</v>
      </c>
      <c r="C165" s="9" t="s">
        <v>545</v>
      </c>
      <c r="D165" s="9" t="s">
        <v>208</v>
      </c>
      <c r="E165" s="12">
        <v>7086.03</v>
      </c>
      <c r="F165" s="9" t="s">
        <v>88</v>
      </c>
      <c r="G165" s="9" t="s">
        <v>113</v>
      </c>
      <c r="H165" s="9" t="s">
        <v>109</v>
      </c>
    </row>
    <row r="166" spans="1:8" x14ac:dyDescent="0.3">
      <c r="A166" s="11">
        <v>46071</v>
      </c>
      <c r="B166" s="9" t="s">
        <v>546</v>
      </c>
      <c r="C166" s="9" t="s">
        <v>547</v>
      </c>
      <c r="D166" s="9" t="s">
        <v>548</v>
      </c>
      <c r="E166" s="12">
        <v>10385.98</v>
      </c>
      <c r="F166" s="9" t="s">
        <v>94</v>
      </c>
      <c r="G166" s="9" t="s">
        <v>89</v>
      </c>
      <c r="H166" s="9" t="s">
        <v>90</v>
      </c>
    </row>
    <row r="167" spans="1:8" x14ac:dyDescent="0.3">
      <c r="A167" s="11">
        <v>46071</v>
      </c>
      <c r="B167" s="9" t="s">
        <v>549</v>
      </c>
      <c r="C167" s="9" t="s">
        <v>550</v>
      </c>
      <c r="D167" s="9" t="s">
        <v>551</v>
      </c>
      <c r="E167" s="12">
        <v>110649.14</v>
      </c>
      <c r="F167" s="9" t="s">
        <v>94</v>
      </c>
      <c r="G167" s="9" t="s">
        <v>101</v>
      </c>
      <c r="H167" s="9" t="s">
        <v>90</v>
      </c>
    </row>
    <row r="168" spans="1:8" x14ac:dyDescent="0.3">
      <c r="A168" s="11">
        <v>46071</v>
      </c>
      <c r="B168" s="9" t="s">
        <v>552</v>
      </c>
      <c r="C168" s="9" t="s">
        <v>553</v>
      </c>
      <c r="D168" s="9" t="s">
        <v>554</v>
      </c>
      <c r="E168" s="12">
        <v>162602.14000000001</v>
      </c>
      <c r="F168" s="9" t="s">
        <v>94</v>
      </c>
      <c r="G168" s="9" t="s">
        <v>89</v>
      </c>
      <c r="H168" s="9" t="s">
        <v>109</v>
      </c>
    </row>
    <row r="169" spans="1:8" x14ac:dyDescent="0.3">
      <c r="A169" s="11">
        <v>46072</v>
      </c>
      <c r="B169" s="9" t="s">
        <v>555</v>
      </c>
      <c r="C169" s="9" t="s">
        <v>556</v>
      </c>
      <c r="D169" s="9" t="s">
        <v>100</v>
      </c>
      <c r="E169" s="12">
        <v>36865.4</v>
      </c>
      <c r="F169" s="9" t="s">
        <v>88</v>
      </c>
      <c r="G169" s="9" t="s">
        <v>89</v>
      </c>
      <c r="H169" s="9" t="s">
        <v>90</v>
      </c>
    </row>
    <row r="170" spans="1:8" x14ac:dyDescent="0.3">
      <c r="A170" s="11">
        <v>46072</v>
      </c>
      <c r="B170" s="9" t="s">
        <v>557</v>
      </c>
      <c r="C170" s="9" t="s">
        <v>558</v>
      </c>
      <c r="D170" s="9" t="s">
        <v>559</v>
      </c>
      <c r="E170" s="12">
        <v>26425.360000000001</v>
      </c>
      <c r="F170" s="9" t="s">
        <v>94</v>
      </c>
      <c r="G170" s="9" t="s">
        <v>89</v>
      </c>
      <c r="H170" s="9" t="s">
        <v>109</v>
      </c>
    </row>
    <row r="171" spans="1:8" x14ac:dyDescent="0.3">
      <c r="A171" s="11">
        <v>46072</v>
      </c>
      <c r="B171" s="9" t="s">
        <v>560</v>
      </c>
      <c r="C171" s="9" t="s">
        <v>561</v>
      </c>
      <c r="D171" s="9" t="s">
        <v>562</v>
      </c>
      <c r="E171" s="12">
        <v>9714.0400000000009</v>
      </c>
      <c r="F171" s="9" t="s">
        <v>94</v>
      </c>
      <c r="G171" s="9" t="s">
        <v>105</v>
      </c>
      <c r="H171" s="9" t="s">
        <v>90</v>
      </c>
    </row>
    <row r="172" spans="1:8" x14ac:dyDescent="0.3">
      <c r="A172" s="11">
        <v>46072</v>
      </c>
      <c r="B172" s="9" t="s">
        <v>563</v>
      </c>
      <c r="C172" s="9" t="s">
        <v>564</v>
      </c>
      <c r="D172" s="9" t="s">
        <v>93</v>
      </c>
      <c r="E172" s="12">
        <v>27478.76</v>
      </c>
      <c r="F172" s="9" t="s">
        <v>88</v>
      </c>
      <c r="G172" s="9" t="s">
        <v>113</v>
      </c>
      <c r="H172" s="9" t="s">
        <v>90</v>
      </c>
    </row>
    <row r="173" spans="1:8" x14ac:dyDescent="0.3">
      <c r="A173" s="11">
        <v>46072</v>
      </c>
      <c r="B173" s="9" t="s">
        <v>565</v>
      </c>
      <c r="C173" s="9" t="s">
        <v>566</v>
      </c>
      <c r="D173" s="9" t="s">
        <v>567</v>
      </c>
      <c r="E173" s="12">
        <v>133557.14000000001</v>
      </c>
      <c r="F173" s="9" t="s">
        <v>88</v>
      </c>
      <c r="G173" s="9" t="s">
        <v>89</v>
      </c>
      <c r="H173" s="9" t="s">
        <v>109</v>
      </c>
    </row>
    <row r="174" spans="1:8" x14ac:dyDescent="0.3">
      <c r="A174" s="11">
        <v>46072</v>
      </c>
      <c r="B174" s="9" t="s">
        <v>568</v>
      </c>
      <c r="C174" s="9" t="s">
        <v>569</v>
      </c>
      <c r="D174" s="9" t="s">
        <v>570</v>
      </c>
      <c r="E174" s="12">
        <v>29043.16</v>
      </c>
      <c r="F174" s="9" t="s">
        <v>88</v>
      </c>
      <c r="G174" s="9" t="s">
        <v>105</v>
      </c>
      <c r="H174" s="9" t="s">
        <v>142</v>
      </c>
    </row>
    <row r="175" spans="1:8" x14ac:dyDescent="0.3">
      <c r="A175" s="11">
        <v>46073</v>
      </c>
      <c r="B175" s="9" t="s">
        <v>571</v>
      </c>
      <c r="C175" s="9" t="s">
        <v>572</v>
      </c>
      <c r="D175" s="9" t="s">
        <v>329</v>
      </c>
      <c r="E175" s="12">
        <v>24581.32</v>
      </c>
      <c r="F175" s="9" t="s">
        <v>88</v>
      </c>
      <c r="G175" s="9" t="s">
        <v>113</v>
      </c>
      <c r="H175" s="9" t="s">
        <v>90</v>
      </c>
    </row>
    <row r="176" spans="1:8" x14ac:dyDescent="0.3">
      <c r="A176" s="11">
        <v>46074</v>
      </c>
      <c r="B176" s="9" t="s">
        <v>573</v>
      </c>
      <c r="C176" s="9" t="s">
        <v>574</v>
      </c>
      <c r="D176" s="9" t="s">
        <v>575</v>
      </c>
      <c r="E176" s="12">
        <v>186641.92000000001</v>
      </c>
      <c r="F176" s="9" t="s">
        <v>94</v>
      </c>
      <c r="G176" s="9" t="s">
        <v>113</v>
      </c>
      <c r="H176" s="9" t="s">
        <v>109</v>
      </c>
    </row>
    <row r="177" spans="1:8" x14ac:dyDescent="0.3">
      <c r="A177" s="11">
        <v>46074</v>
      </c>
      <c r="B177" s="9" t="s">
        <v>576</v>
      </c>
      <c r="C177" s="9" t="s">
        <v>577</v>
      </c>
      <c r="D177" s="9" t="s">
        <v>578</v>
      </c>
      <c r="E177" s="12">
        <v>8282.0499999999993</v>
      </c>
      <c r="F177" s="9" t="s">
        <v>88</v>
      </c>
      <c r="G177" s="9" t="s">
        <v>113</v>
      </c>
      <c r="H177" s="9" t="s">
        <v>142</v>
      </c>
    </row>
    <row r="178" spans="1:8" x14ac:dyDescent="0.3">
      <c r="A178" s="11">
        <v>46074</v>
      </c>
      <c r="B178" s="9" t="s">
        <v>579</v>
      </c>
      <c r="C178" s="9" t="s">
        <v>580</v>
      </c>
      <c r="D178" s="9" t="s">
        <v>581</v>
      </c>
      <c r="E178" s="12">
        <v>100642.35</v>
      </c>
      <c r="F178" s="9" t="s">
        <v>88</v>
      </c>
      <c r="G178" s="9" t="s">
        <v>101</v>
      </c>
      <c r="H178" s="9" t="s">
        <v>90</v>
      </c>
    </row>
    <row r="179" spans="1:8" x14ac:dyDescent="0.3">
      <c r="A179" s="11">
        <v>46074</v>
      </c>
      <c r="B179" s="9" t="s">
        <v>582</v>
      </c>
      <c r="C179" s="9" t="s">
        <v>583</v>
      </c>
      <c r="D179" s="9" t="s">
        <v>93</v>
      </c>
      <c r="E179" s="12">
        <v>491712.11</v>
      </c>
      <c r="F179" s="9" t="s">
        <v>88</v>
      </c>
      <c r="G179" s="9" t="s">
        <v>113</v>
      </c>
      <c r="H179" s="9" t="s">
        <v>90</v>
      </c>
    </row>
    <row r="180" spans="1:8" x14ac:dyDescent="0.3">
      <c r="A180" s="11">
        <v>46075</v>
      </c>
      <c r="B180" s="9" t="s">
        <v>584</v>
      </c>
      <c r="C180" s="9" t="s">
        <v>585</v>
      </c>
      <c r="D180" s="9" t="s">
        <v>191</v>
      </c>
      <c r="E180" s="12">
        <v>9507.7000000000007</v>
      </c>
      <c r="F180" s="9" t="s">
        <v>88</v>
      </c>
      <c r="G180" s="9" t="s">
        <v>101</v>
      </c>
      <c r="H180" s="9" t="s">
        <v>90</v>
      </c>
    </row>
    <row r="181" spans="1:8" x14ac:dyDescent="0.3">
      <c r="A181" s="11">
        <v>46075</v>
      </c>
      <c r="B181" s="9" t="s">
        <v>586</v>
      </c>
      <c r="C181" s="9" t="s">
        <v>587</v>
      </c>
      <c r="D181" s="9" t="s">
        <v>93</v>
      </c>
      <c r="E181" s="12">
        <v>352043.04</v>
      </c>
      <c r="F181" s="9" t="s">
        <v>94</v>
      </c>
      <c r="G181" s="9" t="s">
        <v>113</v>
      </c>
      <c r="H181" s="9" t="s">
        <v>90</v>
      </c>
    </row>
    <row r="182" spans="1:8" x14ac:dyDescent="0.3">
      <c r="A182" s="11">
        <v>46075</v>
      </c>
      <c r="B182" s="9" t="s">
        <v>588</v>
      </c>
      <c r="C182" s="9" t="s">
        <v>589</v>
      </c>
      <c r="D182" s="9" t="s">
        <v>590</v>
      </c>
      <c r="E182" s="12">
        <v>25042.71</v>
      </c>
      <c r="F182" s="9" t="s">
        <v>88</v>
      </c>
      <c r="G182" s="9" t="s">
        <v>105</v>
      </c>
      <c r="H182" s="9" t="s">
        <v>142</v>
      </c>
    </row>
    <row r="183" spans="1:8" x14ac:dyDescent="0.3">
      <c r="A183" s="11">
        <v>46075</v>
      </c>
      <c r="B183" s="9" t="s">
        <v>591</v>
      </c>
      <c r="C183" s="9" t="s">
        <v>592</v>
      </c>
      <c r="D183" s="9" t="s">
        <v>593</v>
      </c>
      <c r="E183" s="12">
        <v>1203</v>
      </c>
      <c r="F183" s="9" t="s">
        <v>94</v>
      </c>
      <c r="G183" s="9" t="s">
        <v>101</v>
      </c>
      <c r="H183" s="9" t="s">
        <v>142</v>
      </c>
    </row>
    <row r="184" spans="1:8" x14ac:dyDescent="0.3">
      <c r="A184" s="11">
        <v>46075</v>
      </c>
      <c r="B184" s="9" t="s">
        <v>594</v>
      </c>
      <c r="C184" s="9" t="s">
        <v>595</v>
      </c>
      <c r="D184" s="9" t="s">
        <v>108</v>
      </c>
      <c r="E184" s="12">
        <v>1403.3</v>
      </c>
      <c r="F184" s="9" t="s">
        <v>88</v>
      </c>
      <c r="G184" s="9" t="s">
        <v>105</v>
      </c>
      <c r="H184" s="9" t="s">
        <v>142</v>
      </c>
    </row>
    <row r="185" spans="1:8" x14ac:dyDescent="0.3">
      <c r="A185" s="11">
        <v>46075</v>
      </c>
      <c r="B185" s="9" t="s">
        <v>596</v>
      </c>
      <c r="C185" s="9" t="s">
        <v>597</v>
      </c>
      <c r="D185" s="9" t="s">
        <v>598</v>
      </c>
      <c r="E185" s="12">
        <v>66175.05</v>
      </c>
      <c r="F185" s="9" t="s">
        <v>94</v>
      </c>
      <c r="G185" s="9" t="s">
        <v>113</v>
      </c>
      <c r="H185" s="9" t="s">
        <v>142</v>
      </c>
    </row>
    <row r="186" spans="1:8" x14ac:dyDescent="0.3">
      <c r="A186" s="11">
        <v>46076</v>
      </c>
      <c r="B186" s="9" t="s">
        <v>599</v>
      </c>
      <c r="C186" s="9" t="s">
        <v>600</v>
      </c>
      <c r="D186" s="9" t="s">
        <v>601</v>
      </c>
      <c r="E186" s="12">
        <v>19191.77</v>
      </c>
      <c r="F186" s="9" t="s">
        <v>88</v>
      </c>
      <c r="G186" s="9" t="s">
        <v>113</v>
      </c>
      <c r="H186" s="9" t="s">
        <v>90</v>
      </c>
    </row>
    <row r="187" spans="1:8" x14ac:dyDescent="0.3">
      <c r="A187" s="11">
        <v>46076</v>
      </c>
      <c r="B187" s="9" t="s">
        <v>602</v>
      </c>
      <c r="C187" s="9" t="s">
        <v>603</v>
      </c>
      <c r="D187" s="9" t="s">
        <v>220</v>
      </c>
      <c r="E187" s="12">
        <v>37520.239999999998</v>
      </c>
      <c r="F187" s="9" t="s">
        <v>88</v>
      </c>
      <c r="G187" s="9" t="s">
        <v>89</v>
      </c>
      <c r="H187" s="9" t="s">
        <v>90</v>
      </c>
    </row>
    <row r="188" spans="1:8" x14ac:dyDescent="0.3">
      <c r="A188" s="11">
        <v>46076</v>
      </c>
      <c r="B188" s="9" t="s">
        <v>604</v>
      </c>
      <c r="C188" s="9" t="s">
        <v>605</v>
      </c>
      <c r="D188" s="9" t="s">
        <v>606</v>
      </c>
      <c r="E188" s="12">
        <v>130358.04</v>
      </c>
      <c r="F188" s="9" t="s">
        <v>94</v>
      </c>
      <c r="G188" s="9" t="s">
        <v>101</v>
      </c>
      <c r="H188" s="9" t="s">
        <v>90</v>
      </c>
    </row>
    <row r="189" spans="1:8" x14ac:dyDescent="0.3">
      <c r="A189" s="11">
        <v>46076</v>
      </c>
      <c r="B189" s="9" t="s">
        <v>607</v>
      </c>
      <c r="C189" s="9" t="s">
        <v>608</v>
      </c>
      <c r="D189" s="9" t="s">
        <v>609</v>
      </c>
      <c r="E189" s="12">
        <v>129862.61</v>
      </c>
      <c r="F189" s="9" t="s">
        <v>94</v>
      </c>
      <c r="G189" s="9" t="s">
        <v>89</v>
      </c>
      <c r="H189" s="9" t="s">
        <v>90</v>
      </c>
    </row>
    <row r="190" spans="1:8" x14ac:dyDescent="0.3">
      <c r="A190" s="11">
        <v>46076</v>
      </c>
      <c r="B190" s="9" t="s">
        <v>610</v>
      </c>
      <c r="C190" s="9" t="s">
        <v>611</v>
      </c>
      <c r="D190" s="9" t="s">
        <v>612</v>
      </c>
      <c r="E190" s="12">
        <v>68372.98</v>
      </c>
      <c r="F190" s="9" t="s">
        <v>88</v>
      </c>
      <c r="G190" s="9" t="s">
        <v>89</v>
      </c>
      <c r="H190" s="9" t="s">
        <v>90</v>
      </c>
    </row>
    <row r="191" spans="1:8" x14ac:dyDescent="0.3">
      <c r="A191" s="11">
        <v>46076</v>
      </c>
      <c r="B191" s="9" t="s">
        <v>613</v>
      </c>
      <c r="C191" s="9" t="s">
        <v>614</v>
      </c>
      <c r="D191" s="9" t="s">
        <v>615</v>
      </c>
      <c r="E191" s="12">
        <v>97057.7</v>
      </c>
      <c r="F191" s="9" t="s">
        <v>94</v>
      </c>
      <c r="G191" s="9" t="s">
        <v>113</v>
      </c>
      <c r="H191" s="9" t="s">
        <v>90</v>
      </c>
    </row>
    <row r="192" spans="1:8" x14ac:dyDescent="0.3">
      <c r="A192" s="11">
        <v>46076</v>
      </c>
      <c r="B192" s="9" t="s">
        <v>616</v>
      </c>
      <c r="C192" s="9" t="s">
        <v>617</v>
      </c>
      <c r="D192" s="9" t="s">
        <v>618</v>
      </c>
      <c r="E192" s="12">
        <v>63012.639999999999</v>
      </c>
      <c r="F192" s="9" t="s">
        <v>88</v>
      </c>
      <c r="G192" s="9" t="s">
        <v>113</v>
      </c>
      <c r="H192" s="9" t="s">
        <v>109</v>
      </c>
    </row>
    <row r="193" spans="1:8" x14ac:dyDescent="0.3">
      <c r="A193" s="11">
        <v>46076</v>
      </c>
      <c r="B193" s="9" t="s">
        <v>619</v>
      </c>
      <c r="C193" s="9" t="s">
        <v>620</v>
      </c>
      <c r="D193" s="9" t="s">
        <v>621</v>
      </c>
      <c r="E193" s="12">
        <v>115476.45</v>
      </c>
      <c r="F193" s="9" t="s">
        <v>94</v>
      </c>
      <c r="G193" s="9" t="s">
        <v>105</v>
      </c>
      <c r="H193" s="9" t="s">
        <v>90</v>
      </c>
    </row>
    <row r="194" spans="1:8" x14ac:dyDescent="0.3">
      <c r="A194" s="11">
        <v>46076</v>
      </c>
      <c r="B194" s="9" t="s">
        <v>622</v>
      </c>
      <c r="C194" s="9" t="s">
        <v>623</v>
      </c>
      <c r="D194" s="9" t="s">
        <v>624</v>
      </c>
      <c r="E194" s="12">
        <v>192053.5</v>
      </c>
      <c r="F194" s="9" t="s">
        <v>94</v>
      </c>
      <c r="G194" s="9" t="s">
        <v>89</v>
      </c>
      <c r="H194" s="9" t="s">
        <v>90</v>
      </c>
    </row>
    <row r="195" spans="1:8" x14ac:dyDescent="0.3">
      <c r="A195" s="11">
        <v>46076</v>
      </c>
      <c r="B195" s="9" t="s">
        <v>625</v>
      </c>
      <c r="C195" s="9" t="s">
        <v>626</v>
      </c>
      <c r="D195" s="9" t="s">
        <v>627</v>
      </c>
      <c r="E195" s="12">
        <v>37164.620000000003</v>
      </c>
      <c r="F195" s="9" t="s">
        <v>88</v>
      </c>
      <c r="G195" s="9" t="s">
        <v>101</v>
      </c>
      <c r="H195" s="9" t="s">
        <v>142</v>
      </c>
    </row>
    <row r="196" spans="1:8" x14ac:dyDescent="0.3">
      <c r="A196" s="11">
        <v>46077</v>
      </c>
      <c r="B196" s="9" t="s">
        <v>628</v>
      </c>
      <c r="C196" s="9" t="s">
        <v>629</v>
      </c>
      <c r="D196" s="9" t="s">
        <v>630</v>
      </c>
      <c r="E196" s="12">
        <v>82977.47</v>
      </c>
      <c r="F196" s="9" t="s">
        <v>94</v>
      </c>
      <c r="G196" s="9" t="s">
        <v>105</v>
      </c>
      <c r="H196" s="9" t="s">
        <v>90</v>
      </c>
    </row>
    <row r="197" spans="1:8" x14ac:dyDescent="0.3">
      <c r="A197" s="11">
        <v>46078</v>
      </c>
      <c r="B197" s="9" t="s">
        <v>631</v>
      </c>
      <c r="C197" s="9"/>
      <c r="D197" s="9" t="s">
        <v>93</v>
      </c>
      <c r="E197" s="12">
        <v>161672.20000000001</v>
      </c>
      <c r="F197" s="9" t="s">
        <v>88</v>
      </c>
      <c r="G197" s="9" t="s">
        <v>113</v>
      </c>
      <c r="H197" s="9" t="s">
        <v>90</v>
      </c>
    </row>
    <row r="198" spans="1:8" x14ac:dyDescent="0.3">
      <c r="A198" s="11">
        <v>46078</v>
      </c>
      <c r="B198" s="9" t="s">
        <v>632</v>
      </c>
      <c r="C198" s="9" t="s">
        <v>633</v>
      </c>
      <c r="D198" s="9" t="s">
        <v>93</v>
      </c>
      <c r="E198" s="12">
        <v>16490.810000000001</v>
      </c>
      <c r="F198" s="9" t="s">
        <v>88</v>
      </c>
      <c r="G198" s="9" t="s">
        <v>89</v>
      </c>
      <c r="H198" s="9" t="s">
        <v>90</v>
      </c>
    </row>
    <row r="199" spans="1:8" x14ac:dyDescent="0.3">
      <c r="A199" s="11">
        <v>46078</v>
      </c>
      <c r="B199" s="9" t="s">
        <v>634</v>
      </c>
      <c r="C199" s="9" t="s">
        <v>635</v>
      </c>
      <c r="D199" s="9" t="s">
        <v>636</v>
      </c>
      <c r="E199" s="12">
        <v>107525.39</v>
      </c>
      <c r="F199" s="9" t="s">
        <v>94</v>
      </c>
      <c r="G199" s="9" t="s">
        <v>113</v>
      </c>
      <c r="H199" s="9" t="s">
        <v>90</v>
      </c>
    </row>
    <row r="200" spans="1:8" x14ac:dyDescent="0.3">
      <c r="A200" s="11">
        <v>46078</v>
      </c>
      <c r="B200" s="9" t="s">
        <v>637</v>
      </c>
      <c r="C200" s="9" t="s">
        <v>638</v>
      </c>
      <c r="D200" s="9" t="s">
        <v>108</v>
      </c>
      <c r="E200" s="12">
        <v>38033.39</v>
      </c>
      <c r="F200" s="9" t="s">
        <v>88</v>
      </c>
      <c r="G200" s="9" t="s">
        <v>89</v>
      </c>
      <c r="H200" s="9" t="s">
        <v>90</v>
      </c>
    </row>
    <row r="201" spans="1:8" x14ac:dyDescent="0.3">
      <c r="A201" s="11">
        <v>46078</v>
      </c>
      <c r="B201" s="9" t="s">
        <v>639</v>
      </c>
      <c r="C201" s="9" t="s">
        <v>640</v>
      </c>
      <c r="D201" s="9" t="s">
        <v>641</v>
      </c>
      <c r="E201" s="12">
        <v>73329.2</v>
      </c>
      <c r="F201" s="9" t="s">
        <v>94</v>
      </c>
      <c r="G201" s="9" t="s">
        <v>113</v>
      </c>
      <c r="H201" s="9" t="s">
        <v>90</v>
      </c>
    </row>
    <row r="202" spans="1:8" x14ac:dyDescent="0.3">
      <c r="A202" s="11">
        <v>46078</v>
      </c>
      <c r="B202" s="9" t="s">
        <v>642</v>
      </c>
      <c r="C202" s="9" t="s">
        <v>643</v>
      </c>
      <c r="D202" s="9" t="s">
        <v>644</v>
      </c>
      <c r="E202" s="12">
        <v>118484.75</v>
      </c>
      <c r="F202" s="9" t="s">
        <v>94</v>
      </c>
      <c r="G202" s="9" t="s">
        <v>113</v>
      </c>
      <c r="H202" s="9" t="s">
        <v>90</v>
      </c>
    </row>
    <row r="203" spans="1:8" x14ac:dyDescent="0.3">
      <c r="A203" s="11">
        <v>46078</v>
      </c>
      <c r="B203" s="9" t="s">
        <v>645</v>
      </c>
      <c r="C203" s="9" t="s">
        <v>646</v>
      </c>
      <c r="D203" s="9" t="s">
        <v>647</v>
      </c>
      <c r="E203" s="12">
        <v>19306.150000000001</v>
      </c>
      <c r="F203" s="9" t="s">
        <v>88</v>
      </c>
      <c r="G203" s="9" t="s">
        <v>113</v>
      </c>
      <c r="H203" s="9" t="s">
        <v>90</v>
      </c>
    </row>
    <row r="204" spans="1:8" x14ac:dyDescent="0.3">
      <c r="A204" s="11">
        <v>46079</v>
      </c>
      <c r="B204" s="9" t="s">
        <v>648</v>
      </c>
      <c r="C204" s="9" t="s">
        <v>649</v>
      </c>
      <c r="D204" s="9" t="s">
        <v>650</v>
      </c>
      <c r="E204" s="12">
        <v>168318.74</v>
      </c>
      <c r="F204" s="9" t="s">
        <v>94</v>
      </c>
      <c r="G204" s="9" t="s">
        <v>113</v>
      </c>
      <c r="H204" s="9" t="s">
        <v>90</v>
      </c>
    </row>
    <row r="205" spans="1:8" x14ac:dyDescent="0.3">
      <c r="A205" s="11">
        <v>46079</v>
      </c>
      <c r="B205" s="9" t="s">
        <v>651</v>
      </c>
      <c r="C205" s="9" t="s">
        <v>652</v>
      </c>
      <c r="D205" s="9" t="s">
        <v>653</v>
      </c>
      <c r="E205" s="12">
        <v>39938.93</v>
      </c>
      <c r="F205" s="9" t="s">
        <v>88</v>
      </c>
      <c r="G205" s="9" t="s">
        <v>89</v>
      </c>
      <c r="H205" s="9" t="s">
        <v>109</v>
      </c>
    </row>
    <row r="206" spans="1:8" x14ac:dyDescent="0.3">
      <c r="A206" s="11">
        <v>46079</v>
      </c>
      <c r="B206" s="9" t="s">
        <v>654</v>
      </c>
      <c r="C206" s="9" t="s">
        <v>655</v>
      </c>
      <c r="D206" s="9" t="s">
        <v>656</v>
      </c>
      <c r="E206" s="12">
        <v>179254.53</v>
      </c>
      <c r="F206" s="9" t="s">
        <v>94</v>
      </c>
      <c r="G206" s="9" t="s">
        <v>113</v>
      </c>
      <c r="H206" s="9" t="s">
        <v>90</v>
      </c>
    </row>
    <row r="207" spans="1:8" x14ac:dyDescent="0.3">
      <c r="A207" s="9" t="s">
        <v>657</v>
      </c>
      <c r="B207" s="9" t="s">
        <v>658</v>
      </c>
      <c r="C207" s="9" t="s">
        <v>659</v>
      </c>
      <c r="D207" s="9" t="s">
        <v>100</v>
      </c>
      <c r="E207" s="12">
        <v>46592.480000000003</v>
      </c>
      <c r="F207" s="9" t="s">
        <v>88</v>
      </c>
      <c r="G207" s="9" t="s">
        <v>113</v>
      </c>
      <c r="H207" s="9" t="s">
        <v>90</v>
      </c>
    </row>
    <row r="208" spans="1:8" x14ac:dyDescent="0.3">
      <c r="A208" s="11">
        <v>46080</v>
      </c>
      <c r="B208" s="9" t="s">
        <v>660</v>
      </c>
      <c r="C208" s="9" t="s">
        <v>661</v>
      </c>
      <c r="D208" s="9" t="s">
        <v>329</v>
      </c>
      <c r="E208" s="12">
        <v>30697.86</v>
      </c>
      <c r="F208" s="9" t="s">
        <v>88</v>
      </c>
      <c r="G208" s="9" t="s">
        <v>113</v>
      </c>
      <c r="H208" s="9" t="s">
        <v>90</v>
      </c>
    </row>
    <row r="209" spans="1:8" x14ac:dyDescent="0.3">
      <c r="A209" s="11">
        <v>46080</v>
      </c>
      <c r="B209" s="9" t="s">
        <v>662</v>
      </c>
      <c r="C209" s="9" t="s">
        <v>663</v>
      </c>
      <c r="D209" s="9" t="s">
        <v>664</v>
      </c>
      <c r="E209" s="12">
        <v>11308.87</v>
      </c>
      <c r="F209" s="9" t="s">
        <v>94</v>
      </c>
      <c r="G209" s="9" t="s">
        <v>105</v>
      </c>
      <c r="H209" s="9" t="s">
        <v>90</v>
      </c>
    </row>
    <row r="210" spans="1:8" x14ac:dyDescent="0.3">
      <c r="A210" s="11">
        <v>46081</v>
      </c>
      <c r="B210" s="9" t="s">
        <v>665</v>
      </c>
      <c r="C210" s="9" t="s">
        <v>666</v>
      </c>
      <c r="D210" s="9" t="s">
        <v>667</v>
      </c>
      <c r="E210" s="12">
        <v>89441.4</v>
      </c>
      <c r="F210" s="9" t="s">
        <v>88</v>
      </c>
      <c r="G210" s="9" t="s">
        <v>89</v>
      </c>
      <c r="H210" s="9" t="s">
        <v>142</v>
      </c>
    </row>
    <row r="211" spans="1:8" x14ac:dyDescent="0.3">
      <c r="A211" s="11">
        <v>46081</v>
      </c>
      <c r="B211" s="9" t="s">
        <v>668</v>
      </c>
      <c r="C211" s="9" t="s">
        <v>669</v>
      </c>
      <c r="D211" s="9" t="s">
        <v>670</v>
      </c>
      <c r="E211" s="12">
        <v>58985.5</v>
      </c>
      <c r="F211" s="9" t="s">
        <v>88</v>
      </c>
      <c r="G211" s="9" t="s">
        <v>89</v>
      </c>
      <c r="H211" s="9" t="s">
        <v>90</v>
      </c>
    </row>
    <row r="212" spans="1:8" x14ac:dyDescent="0.3">
      <c r="A212" s="11">
        <v>46082</v>
      </c>
      <c r="B212" s="9" t="s">
        <v>671</v>
      </c>
      <c r="C212" s="9" t="s">
        <v>672</v>
      </c>
      <c r="D212" s="9" t="s">
        <v>673</v>
      </c>
      <c r="E212" s="12">
        <v>83904.66</v>
      </c>
      <c r="F212" s="9" t="s">
        <v>88</v>
      </c>
      <c r="G212" s="9" t="s">
        <v>105</v>
      </c>
      <c r="H212" s="9" t="s">
        <v>90</v>
      </c>
    </row>
    <row r="213" spans="1:8" x14ac:dyDescent="0.3">
      <c r="A213" s="11">
        <v>46082</v>
      </c>
      <c r="B213" s="9" t="s">
        <v>674</v>
      </c>
      <c r="C213" s="9" t="s">
        <v>675</v>
      </c>
      <c r="D213" s="9" t="s">
        <v>676</v>
      </c>
      <c r="E213" s="12">
        <v>8963.8700000000008</v>
      </c>
      <c r="F213" s="9" t="s">
        <v>88</v>
      </c>
      <c r="G213" s="9" t="s">
        <v>101</v>
      </c>
      <c r="H213" s="9" t="s">
        <v>142</v>
      </c>
    </row>
    <row r="214" spans="1:8" x14ac:dyDescent="0.3">
      <c r="A214" s="11">
        <v>46082</v>
      </c>
      <c r="B214" s="9" t="s">
        <v>677</v>
      </c>
      <c r="C214" s="9" t="s">
        <v>678</v>
      </c>
      <c r="D214" s="9" t="s">
        <v>679</v>
      </c>
      <c r="E214" s="12">
        <v>115269.13</v>
      </c>
      <c r="F214" s="9" t="s">
        <v>88</v>
      </c>
      <c r="G214" s="9" t="s">
        <v>113</v>
      </c>
      <c r="H214" s="9" t="s">
        <v>109</v>
      </c>
    </row>
    <row r="215" spans="1:8" x14ac:dyDescent="0.3">
      <c r="A215" s="11">
        <v>46083</v>
      </c>
      <c r="B215" s="9" t="s">
        <v>680</v>
      </c>
      <c r="C215" s="9" t="s">
        <v>681</v>
      </c>
      <c r="D215" s="9" t="s">
        <v>682</v>
      </c>
      <c r="E215" s="12">
        <v>168996.31</v>
      </c>
      <c r="F215" s="9" t="s">
        <v>94</v>
      </c>
      <c r="G215" s="9" t="s">
        <v>105</v>
      </c>
      <c r="H215" s="9" t="s">
        <v>109</v>
      </c>
    </row>
    <row r="216" spans="1:8" x14ac:dyDescent="0.3">
      <c r="A216" s="11">
        <v>46083</v>
      </c>
      <c r="B216" s="9" t="s">
        <v>683</v>
      </c>
      <c r="C216" s="9" t="s">
        <v>684</v>
      </c>
      <c r="D216" s="9" t="s">
        <v>685</v>
      </c>
      <c r="E216" s="12">
        <v>79446.06</v>
      </c>
      <c r="F216" s="9" t="s">
        <v>94</v>
      </c>
      <c r="G216" s="9" t="s">
        <v>89</v>
      </c>
      <c r="H216" s="9" t="s">
        <v>109</v>
      </c>
    </row>
    <row r="217" spans="1:8" x14ac:dyDescent="0.3">
      <c r="A217" s="11">
        <v>46083</v>
      </c>
      <c r="B217" s="9" t="s">
        <v>686</v>
      </c>
      <c r="C217" s="9" t="s">
        <v>687</v>
      </c>
      <c r="D217" s="9" t="s">
        <v>688</v>
      </c>
      <c r="E217" s="12">
        <v>109583.54</v>
      </c>
      <c r="F217" s="9" t="s">
        <v>94</v>
      </c>
      <c r="G217" s="9" t="s">
        <v>105</v>
      </c>
      <c r="H217" s="9" t="s">
        <v>90</v>
      </c>
    </row>
    <row r="218" spans="1:8" x14ac:dyDescent="0.3">
      <c r="A218" s="11">
        <v>46084</v>
      </c>
      <c r="B218" s="9" t="s">
        <v>689</v>
      </c>
      <c r="C218" s="9" t="s">
        <v>690</v>
      </c>
      <c r="D218" s="9" t="s">
        <v>329</v>
      </c>
      <c r="E218" s="12">
        <v>21421.16</v>
      </c>
      <c r="F218" s="9" t="s">
        <v>88</v>
      </c>
      <c r="G218" s="9" t="s">
        <v>105</v>
      </c>
      <c r="H218" s="9" t="s">
        <v>109</v>
      </c>
    </row>
    <row r="219" spans="1:8" x14ac:dyDescent="0.3">
      <c r="A219" s="11">
        <v>46084</v>
      </c>
      <c r="B219" s="9" t="s">
        <v>691</v>
      </c>
      <c r="C219" s="9" t="s">
        <v>692</v>
      </c>
      <c r="D219" s="9" t="s">
        <v>693</v>
      </c>
      <c r="E219" s="12">
        <v>93869.88</v>
      </c>
      <c r="F219" s="9" t="s">
        <v>88</v>
      </c>
      <c r="G219" s="9" t="s">
        <v>101</v>
      </c>
      <c r="H219" s="9" t="s">
        <v>90</v>
      </c>
    </row>
    <row r="220" spans="1:8" x14ac:dyDescent="0.3">
      <c r="A220" s="11">
        <v>46084</v>
      </c>
      <c r="B220" s="9" t="s">
        <v>694</v>
      </c>
      <c r="C220" s="9" t="s">
        <v>695</v>
      </c>
      <c r="D220" s="9" t="s">
        <v>108</v>
      </c>
      <c r="E220" s="12">
        <v>834.19</v>
      </c>
      <c r="F220" s="9" t="s">
        <v>88</v>
      </c>
      <c r="G220" s="9" t="s">
        <v>89</v>
      </c>
      <c r="H220" s="9" t="s">
        <v>109</v>
      </c>
    </row>
    <row r="221" spans="1:8" x14ac:dyDescent="0.3">
      <c r="A221" s="11">
        <v>46085</v>
      </c>
      <c r="B221" s="9" t="s">
        <v>696</v>
      </c>
      <c r="C221" s="9" t="s">
        <v>697</v>
      </c>
      <c r="D221" s="9" t="s">
        <v>698</v>
      </c>
      <c r="E221" s="12">
        <v>134617.1</v>
      </c>
      <c r="F221" s="9" t="s">
        <v>88</v>
      </c>
      <c r="G221" s="9" t="s">
        <v>89</v>
      </c>
      <c r="H221" s="9" t="s">
        <v>90</v>
      </c>
    </row>
    <row r="222" spans="1:8" x14ac:dyDescent="0.3">
      <c r="A222" s="11">
        <v>46085</v>
      </c>
      <c r="B222" s="9" t="s">
        <v>699</v>
      </c>
      <c r="C222" s="9" t="s">
        <v>700</v>
      </c>
      <c r="D222" s="9" t="s">
        <v>701</v>
      </c>
      <c r="E222" s="12">
        <v>27082.19</v>
      </c>
      <c r="F222" s="9" t="s">
        <v>88</v>
      </c>
      <c r="G222" s="9" t="s">
        <v>113</v>
      </c>
      <c r="H222" s="9" t="s">
        <v>90</v>
      </c>
    </row>
    <row r="223" spans="1:8" x14ac:dyDescent="0.3">
      <c r="A223" s="11">
        <v>46085</v>
      </c>
      <c r="B223" s="9" t="s">
        <v>702</v>
      </c>
      <c r="C223" s="9" t="s">
        <v>703</v>
      </c>
      <c r="D223" s="9" t="s">
        <v>704</v>
      </c>
      <c r="E223" s="12">
        <v>114965.54</v>
      </c>
      <c r="F223" s="9" t="s">
        <v>94</v>
      </c>
      <c r="G223" s="9" t="s">
        <v>113</v>
      </c>
      <c r="H223" s="9" t="s">
        <v>142</v>
      </c>
    </row>
    <row r="224" spans="1:8" x14ac:dyDescent="0.3">
      <c r="A224" s="11">
        <v>46085</v>
      </c>
      <c r="B224" s="9" t="s">
        <v>705</v>
      </c>
      <c r="C224" s="9" t="s">
        <v>706</v>
      </c>
      <c r="D224" s="9" t="s">
        <v>93</v>
      </c>
      <c r="E224" s="12">
        <v>397878.5</v>
      </c>
      <c r="F224" s="9" t="s">
        <v>94</v>
      </c>
      <c r="G224" s="9" t="s">
        <v>105</v>
      </c>
      <c r="H224" s="9" t="s">
        <v>90</v>
      </c>
    </row>
    <row r="225" spans="1:8" x14ac:dyDescent="0.3">
      <c r="A225" s="11">
        <v>46086</v>
      </c>
      <c r="B225" s="9" t="s">
        <v>707</v>
      </c>
      <c r="C225" s="9" t="s">
        <v>708</v>
      </c>
      <c r="D225" s="9" t="s">
        <v>709</v>
      </c>
      <c r="E225" s="12">
        <v>173529.73</v>
      </c>
      <c r="F225" s="9" t="s">
        <v>94</v>
      </c>
      <c r="G225" s="9" t="s">
        <v>113</v>
      </c>
      <c r="H225" s="9" t="s">
        <v>90</v>
      </c>
    </row>
    <row r="226" spans="1:8" x14ac:dyDescent="0.3">
      <c r="A226" s="11">
        <v>46087</v>
      </c>
      <c r="B226" s="9" t="s">
        <v>710</v>
      </c>
      <c r="C226" s="9" t="s">
        <v>711</v>
      </c>
      <c r="D226" s="9" t="s">
        <v>712</v>
      </c>
      <c r="E226" s="12">
        <v>12212.07</v>
      </c>
      <c r="F226" s="9" t="s">
        <v>94</v>
      </c>
      <c r="G226" s="9" t="s">
        <v>101</v>
      </c>
      <c r="H226" s="9" t="s">
        <v>90</v>
      </c>
    </row>
    <row r="227" spans="1:8" x14ac:dyDescent="0.3">
      <c r="A227" s="11">
        <v>46087</v>
      </c>
      <c r="B227" s="9" t="s">
        <v>713</v>
      </c>
      <c r="C227" s="9" t="s">
        <v>714</v>
      </c>
      <c r="D227" s="9" t="s">
        <v>715</v>
      </c>
      <c r="E227" s="12">
        <v>40617.75</v>
      </c>
      <c r="F227" s="9" t="s">
        <v>94</v>
      </c>
      <c r="G227" s="9" t="s">
        <v>101</v>
      </c>
      <c r="H227" s="9" t="s">
        <v>109</v>
      </c>
    </row>
    <row r="228" spans="1:8" x14ac:dyDescent="0.3">
      <c r="A228" s="11">
        <v>46087</v>
      </c>
      <c r="B228" s="9" t="s">
        <v>716</v>
      </c>
      <c r="C228" s="9" t="s">
        <v>717</v>
      </c>
      <c r="D228" s="9" t="s">
        <v>718</v>
      </c>
      <c r="E228" s="12">
        <v>128568.59</v>
      </c>
      <c r="F228" s="9" t="s">
        <v>88</v>
      </c>
      <c r="G228" s="9" t="s">
        <v>89</v>
      </c>
      <c r="H228" s="9" t="s">
        <v>109</v>
      </c>
    </row>
    <row r="229" spans="1:8" x14ac:dyDescent="0.3">
      <c r="A229" s="11">
        <v>46088</v>
      </c>
      <c r="B229" s="9" t="s">
        <v>719</v>
      </c>
      <c r="C229" s="9" t="s">
        <v>720</v>
      </c>
      <c r="D229" s="9" t="s">
        <v>721</v>
      </c>
      <c r="E229" s="12">
        <v>136259.75</v>
      </c>
      <c r="F229" s="9" t="s">
        <v>88</v>
      </c>
      <c r="G229" s="9" t="s">
        <v>89</v>
      </c>
      <c r="H229" s="9" t="s">
        <v>90</v>
      </c>
    </row>
    <row r="230" spans="1:8" x14ac:dyDescent="0.3">
      <c r="A230" s="11">
        <v>46088</v>
      </c>
      <c r="B230" s="9" t="s">
        <v>722</v>
      </c>
      <c r="C230" s="9" t="s">
        <v>723</v>
      </c>
      <c r="D230" s="9" t="s">
        <v>724</v>
      </c>
      <c r="E230" s="12">
        <v>70096.62</v>
      </c>
      <c r="F230" s="9" t="s">
        <v>94</v>
      </c>
      <c r="G230" s="9" t="s">
        <v>113</v>
      </c>
      <c r="H230" s="9" t="s">
        <v>109</v>
      </c>
    </row>
    <row r="231" spans="1:8" x14ac:dyDescent="0.3">
      <c r="A231" s="11">
        <v>46088</v>
      </c>
      <c r="B231" s="9" t="s">
        <v>725</v>
      </c>
      <c r="C231" s="9" t="s">
        <v>726</v>
      </c>
      <c r="D231" s="9" t="s">
        <v>727</v>
      </c>
      <c r="E231" s="12">
        <v>64967.1</v>
      </c>
      <c r="F231" s="9" t="s">
        <v>94</v>
      </c>
      <c r="G231" s="9" t="s">
        <v>101</v>
      </c>
      <c r="H231" s="9" t="s">
        <v>90</v>
      </c>
    </row>
    <row r="232" spans="1:8" x14ac:dyDescent="0.3">
      <c r="A232" s="11">
        <v>46089</v>
      </c>
      <c r="B232" s="9" t="s">
        <v>728</v>
      </c>
      <c r="C232" s="9" t="s">
        <v>729</v>
      </c>
      <c r="D232" s="9" t="s">
        <v>93</v>
      </c>
      <c r="E232" s="12">
        <v>276066.57</v>
      </c>
      <c r="F232" s="9" t="s">
        <v>94</v>
      </c>
      <c r="G232" s="9" t="s">
        <v>89</v>
      </c>
      <c r="H232" s="9" t="s">
        <v>90</v>
      </c>
    </row>
    <row r="233" spans="1:8" x14ac:dyDescent="0.3">
      <c r="A233" s="11">
        <v>46089</v>
      </c>
      <c r="B233" s="9" t="s">
        <v>730</v>
      </c>
      <c r="C233" s="9" t="s">
        <v>731</v>
      </c>
      <c r="D233" s="9" t="s">
        <v>732</v>
      </c>
      <c r="E233" s="12">
        <v>78401.03</v>
      </c>
      <c r="F233" s="9" t="s">
        <v>88</v>
      </c>
      <c r="G233" s="9" t="s">
        <v>105</v>
      </c>
      <c r="H233" s="9" t="s">
        <v>90</v>
      </c>
    </row>
    <row r="234" spans="1:8" x14ac:dyDescent="0.3">
      <c r="A234" s="11">
        <v>46089</v>
      </c>
      <c r="B234" s="9" t="s">
        <v>733</v>
      </c>
      <c r="C234" s="9" t="s">
        <v>734</v>
      </c>
      <c r="D234" s="9" t="s">
        <v>735</v>
      </c>
      <c r="E234" s="12">
        <v>68717.72</v>
      </c>
      <c r="F234" s="9" t="s">
        <v>88</v>
      </c>
      <c r="G234" s="9" t="s">
        <v>101</v>
      </c>
      <c r="H234" s="9" t="s">
        <v>90</v>
      </c>
    </row>
    <row r="235" spans="1:8" x14ac:dyDescent="0.3">
      <c r="A235" s="11">
        <v>46089</v>
      </c>
      <c r="B235" s="9" t="s">
        <v>736</v>
      </c>
      <c r="C235" s="9" t="s">
        <v>737</v>
      </c>
      <c r="D235" s="9" t="s">
        <v>738</v>
      </c>
      <c r="E235" s="12">
        <v>134516.34</v>
      </c>
      <c r="F235" s="9" t="s">
        <v>94</v>
      </c>
      <c r="G235" s="9" t="s">
        <v>89</v>
      </c>
      <c r="H235" s="9" t="s">
        <v>90</v>
      </c>
    </row>
    <row r="236" spans="1:8" x14ac:dyDescent="0.3">
      <c r="A236" s="11">
        <v>46089</v>
      </c>
      <c r="B236" s="9" t="s">
        <v>739</v>
      </c>
      <c r="C236" s="9" t="s">
        <v>740</v>
      </c>
      <c r="D236" s="9" t="s">
        <v>741</v>
      </c>
      <c r="E236" s="12">
        <v>4218.21</v>
      </c>
      <c r="F236" s="9" t="s">
        <v>88</v>
      </c>
      <c r="G236" s="9" t="s">
        <v>113</v>
      </c>
      <c r="H236" s="9" t="s">
        <v>90</v>
      </c>
    </row>
    <row r="237" spans="1:8" x14ac:dyDescent="0.3">
      <c r="A237" s="11">
        <v>46089</v>
      </c>
      <c r="B237" s="9" t="s">
        <v>742</v>
      </c>
      <c r="C237" s="9" t="s">
        <v>743</v>
      </c>
      <c r="D237" s="9" t="s">
        <v>744</v>
      </c>
      <c r="E237" s="12">
        <v>107135.54</v>
      </c>
      <c r="F237" s="9" t="s">
        <v>94</v>
      </c>
      <c r="G237" s="9" t="s">
        <v>101</v>
      </c>
      <c r="H237" s="9" t="s">
        <v>90</v>
      </c>
    </row>
    <row r="238" spans="1:8" x14ac:dyDescent="0.3">
      <c r="A238" s="11">
        <v>46090</v>
      </c>
      <c r="B238" s="9" t="s">
        <v>745</v>
      </c>
      <c r="C238" s="9" t="s">
        <v>746</v>
      </c>
      <c r="D238" s="9" t="s">
        <v>100</v>
      </c>
      <c r="E238" s="12">
        <v>20613.439999999999</v>
      </c>
      <c r="F238" s="9" t="s">
        <v>88</v>
      </c>
      <c r="G238" s="9" t="s">
        <v>113</v>
      </c>
      <c r="H238" s="9" t="s">
        <v>90</v>
      </c>
    </row>
    <row r="239" spans="1:8" x14ac:dyDescent="0.3">
      <c r="A239" s="11">
        <v>46090</v>
      </c>
      <c r="B239" s="9" t="s">
        <v>747</v>
      </c>
      <c r="C239" s="9" t="s">
        <v>748</v>
      </c>
      <c r="D239" s="9" t="s">
        <v>93</v>
      </c>
      <c r="E239" s="12">
        <v>392241.19</v>
      </c>
      <c r="F239" s="9" t="s">
        <v>94</v>
      </c>
      <c r="G239" s="9" t="s">
        <v>89</v>
      </c>
      <c r="H239" s="9" t="s">
        <v>90</v>
      </c>
    </row>
    <row r="240" spans="1:8" x14ac:dyDescent="0.3">
      <c r="A240" s="11">
        <v>46090</v>
      </c>
      <c r="B240" s="9" t="s">
        <v>749</v>
      </c>
      <c r="C240" s="9" t="s">
        <v>750</v>
      </c>
      <c r="D240" s="9" t="s">
        <v>141</v>
      </c>
      <c r="E240" s="12">
        <v>26158.81</v>
      </c>
      <c r="F240" s="9" t="s">
        <v>88</v>
      </c>
      <c r="G240" s="9" t="s">
        <v>113</v>
      </c>
      <c r="H240" s="9" t="s">
        <v>90</v>
      </c>
    </row>
    <row r="241" spans="1:8" x14ac:dyDescent="0.3">
      <c r="A241" s="11">
        <v>46090</v>
      </c>
      <c r="B241" s="9" t="s">
        <v>751</v>
      </c>
      <c r="C241" s="9" t="s">
        <v>752</v>
      </c>
      <c r="D241" s="9" t="s">
        <v>753</v>
      </c>
      <c r="E241" s="12">
        <v>128780.04</v>
      </c>
      <c r="F241" s="9" t="s">
        <v>94</v>
      </c>
      <c r="G241" s="9" t="s">
        <v>101</v>
      </c>
      <c r="H241" s="9" t="s">
        <v>90</v>
      </c>
    </row>
    <row r="242" spans="1:8" x14ac:dyDescent="0.3">
      <c r="A242" s="11">
        <v>46091</v>
      </c>
      <c r="B242" s="9" t="s">
        <v>754</v>
      </c>
      <c r="C242" s="9" t="s">
        <v>755</v>
      </c>
      <c r="D242" s="9" t="s">
        <v>220</v>
      </c>
      <c r="E242" s="12">
        <v>43749.18</v>
      </c>
      <c r="F242" s="9" t="s">
        <v>88</v>
      </c>
      <c r="G242" s="9" t="s">
        <v>113</v>
      </c>
      <c r="H242" s="9" t="s">
        <v>142</v>
      </c>
    </row>
    <row r="243" spans="1:8" x14ac:dyDescent="0.3">
      <c r="A243" s="11">
        <v>46091</v>
      </c>
      <c r="B243" s="9" t="s">
        <v>756</v>
      </c>
      <c r="C243" s="9" t="s">
        <v>757</v>
      </c>
      <c r="D243" s="9" t="s">
        <v>758</v>
      </c>
      <c r="E243" s="12">
        <v>129709.23</v>
      </c>
      <c r="F243" s="9" t="s">
        <v>88</v>
      </c>
      <c r="G243" s="9" t="s">
        <v>113</v>
      </c>
      <c r="H243" s="9" t="s">
        <v>90</v>
      </c>
    </row>
    <row r="244" spans="1:8" x14ac:dyDescent="0.3">
      <c r="A244" s="11">
        <v>46091</v>
      </c>
      <c r="B244" s="9" t="s">
        <v>759</v>
      </c>
      <c r="C244" s="9" t="s">
        <v>760</v>
      </c>
      <c r="D244" s="9" t="s">
        <v>761</v>
      </c>
      <c r="E244" s="12">
        <v>188496.77</v>
      </c>
      <c r="F244" s="9" t="s">
        <v>94</v>
      </c>
      <c r="G244" s="9" t="s">
        <v>105</v>
      </c>
      <c r="H244" s="9" t="s">
        <v>90</v>
      </c>
    </row>
    <row r="245" spans="1:8" x14ac:dyDescent="0.3">
      <c r="A245" s="11">
        <v>46092</v>
      </c>
      <c r="B245" s="9" t="s">
        <v>762</v>
      </c>
      <c r="C245" s="9" t="s">
        <v>763</v>
      </c>
      <c r="D245" s="9" t="s">
        <v>764</v>
      </c>
      <c r="E245" s="12">
        <v>29354.89</v>
      </c>
      <c r="F245" s="9" t="s">
        <v>94</v>
      </c>
      <c r="G245" s="9" t="s">
        <v>113</v>
      </c>
      <c r="H245" s="9" t="s">
        <v>90</v>
      </c>
    </row>
    <row r="246" spans="1:8" x14ac:dyDescent="0.3">
      <c r="A246" s="11">
        <v>46092</v>
      </c>
      <c r="B246" s="9" t="s">
        <v>765</v>
      </c>
      <c r="C246" s="9" t="s">
        <v>766</v>
      </c>
      <c r="D246" s="9" t="s">
        <v>767</v>
      </c>
      <c r="E246" s="12">
        <v>126701.86</v>
      </c>
      <c r="F246" s="9" t="s">
        <v>94</v>
      </c>
      <c r="G246" s="9" t="s">
        <v>89</v>
      </c>
      <c r="H246" s="9" t="s">
        <v>90</v>
      </c>
    </row>
    <row r="247" spans="1:8" x14ac:dyDescent="0.3">
      <c r="A247" s="11">
        <v>46092</v>
      </c>
      <c r="B247" s="9" t="s">
        <v>768</v>
      </c>
      <c r="C247" s="9" t="s">
        <v>769</v>
      </c>
      <c r="D247" s="9" t="s">
        <v>208</v>
      </c>
      <c r="E247" s="12">
        <v>13710.65</v>
      </c>
      <c r="F247" s="9" t="s">
        <v>88</v>
      </c>
      <c r="G247" s="9" t="s">
        <v>113</v>
      </c>
      <c r="H247" s="9" t="s">
        <v>90</v>
      </c>
    </row>
    <row r="248" spans="1:8" x14ac:dyDescent="0.3">
      <c r="A248" s="11">
        <v>46092</v>
      </c>
      <c r="B248" s="9" t="s">
        <v>770</v>
      </c>
      <c r="C248" s="9" t="s">
        <v>771</v>
      </c>
      <c r="D248" s="9" t="s">
        <v>772</v>
      </c>
      <c r="E248" s="12">
        <v>7713.21</v>
      </c>
      <c r="F248" s="9" t="s">
        <v>88</v>
      </c>
      <c r="G248" s="9" t="s">
        <v>105</v>
      </c>
      <c r="H248" s="9" t="s">
        <v>90</v>
      </c>
    </row>
    <row r="249" spans="1:8" x14ac:dyDescent="0.3">
      <c r="A249" s="11">
        <v>46092</v>
      </c>
      <c r="B249" s="9" t="s">
        <v>773</v>
      </c>
      <c r="C249" s="9" t="s">
        <v>774</v>
      </c>
      <c r="D249" s="9" t="s">
        <v>775</v>
      </c>
      <c r="E249" s="12">
        <v>66828.52</v>
      </c>
      <c r="F249" s="9" t="s">
        <v>94</v>
      </c>
      <c r="G249" s="9" t="s">
        <v>101</v>
      </c>
      <c r="H249" s="9" t="s">
        <v>90</v>
      </c>
    </row>
    <row r="250" spans="1:8" x14ac:dyDescent="0.3">
      <c r="A250" s="11">
        <v>46093</v>
      </c>
      <c r="B250" s="9" t="s">
        <v>776</v>
      </c>
      <c r="C250" s="9" t="s">
        <v>777</v>
      </c>
      <c r="D250" s="9" t="s">
        <v>778</v>
      </c>
      <c r="E250" s="12">
        <v>121994.06</v>
      </c>
      <c r="F250" s="9" t="s">
        <v>88</v>
      </c>
      <c r="G250" s="9" t="s">
        <v>89</v>
      </c>
      <c r="H250" s="9" t="s">
        <v>90</v>
      </c>
    </row>
    <row r="251" spans="1:8" x14ac:dyDescent="0.3">
      <c r="A251" s="11">
        <v>46093</v>
      </c>
      <c r="B251" s="9" t="s">
        <v>779</v>
      </c>
      <c r="C251" s="9" t="s">
        <v>780</v>
      </c>
      <c r="D251" s="9" t="s">
        <v>141</v>
      </c>
      <c r="E251" s="12">
        <v>6222.97</v>
      </c>
      <c r="F251" s="9" t="s">
        <v>88</v>
      </c>
      <c r="G251" s="9" t="s">
        <v>101</v>
      </c>
      <c r="H251" s="9" t="s">
        <v>90</v>
      </c>
    </row>
    <row r="252" spans="1:8" x14ac:dyDescent="0.3">
      <c r="A252" s="11">
        <v>46093</v>
      </c>
      <c r="B252" s="9" t="s">
        <v>781</v>
      </c>
      <c r="C252" s="9" t="s">
        <v>782</v>
      </c>
      <c r="D252" s="9" t="s">
        <v>783</v>
      </c>
      <c r="E252" s="12">
        <v>93597.05</v>
      </c>
      <c r="F252" s="9" t="s">
        <v>88</v>
      </c>
      <c r="G252" s="9" t="s">
        <v>89</v>
      </c>
      <c r="H252" s="9" t="s">
        <v>90</v>
      </c>
    </row>
    <row r="253" spans="1:8" x14ac:dyDescent="0.3">
      <c r="A253" s="11">
        <v>46093</v>
      </c>
      <c r="B253" s="9" t="s">
        <v>784</v>
      </c>
      <c r="C253" s="9" t="s">
        <v>785</v>
      </c>
      <c r="D253" s="9" t="s">
        <v>786</v>
      </c>
      <c r="E253" s="12">
        <v>116150.59</v>
      </c>
      <c r="F253" s="9" t="s">
        <v>88</v>
      </c>
      <c r="G253" s="9" t="s">
        <v>89</v>
      </c>
      <c r="H253" s="9" t="s">
        <v>90</v>
      </c>
    </row>
    <row r="254" spans="1:8" x14ac:dyDescent="0.3">
      <c r="A254" s="11">
        <v>46093</v>
      </c>
      <c r="B254" s="9" t="s">
        <v>787</v>
      </c>
      <c r="C254" s="9" t="s">
        <v>788</v>
      </c>
      <c r="D254" s="9" t="s">
        <v>789</v>
      </c>
      <c r="E254" s="12">
        <v>34464.65</v>
      </c>
      <c r="F254" s="9" t="s">
        <v>94</v>
      </c>
      <c r="G254" s="9" t="s">
        <v>89</v>
      </c>
      <c r="H254" s="9" t="s">
        <v>142</v>
      </c>
    </row>
    <row r="255" spans="1:8" x14ac:dyDescent="0.3">
      <c r="A255" s="11">
        <v>46094</v>
      </c>
      <c r="B255" s="9" t="s">
        <v>790</v>
      </c>
      <c r="C255" s="9" t="s">
        <v>791</v>
      </c>
      <c r="D255" s="9" t="s">
        <v>792</v>
      </c>
      <c r="E255" s="12">
        <v>17969.580000000002</v>
      </c>
      <c r="F255" s="9" t="s">
        <v>88</v>
      </c>
      <c r="G255" s="9" t="s">
        <v>89</v>
      </c>
      <c r="H255" s="9" t="s">
        <v>142</v>
      </c>
    </row>
    <row r="256" spans="1:8" x14ac:dyDescent="0.3">
      <c r="A256" s="11">
        <v>46094</v>
      </c>
      <c r="B256" s="9" t="s">
        <v>793</v>
      </c>
      <c r="C256" s="9" t="s">
        <v>794</v>
      </c>
      <c r="D256" s="9" t="s">
        <v>795</v>
      </c>
      <c r="E256" s="12">
        <v>190510.61</v>
      </c>
      <c r="F256" s="9" t="s">
        <v>94</v>
      </c>
      <c r="G256" s="9" t="s">
        <v>105</v>
      </c>
      <c r="H256" s="9" t="s">
        <v>109</v>
      </c>
    </row>
    <row r="257" spans="1:8" x14ac:dyDescent="0.3">
      <c r="A257" s="11">
        <v>46094</v>
      </c>
      <c r="B257" s="9" t="s">
        <v>796</v>
      </c>
      <c r="C257" s="9"/>
      <c r="D257" s="9" t="s">
        <v>797</v>
      </c>
      <c r="E257" s="12">
        <v>100385.64</v>
      </c>
      <c r="F257" s="9" t="s">
        <v>88</v>
      </c>
      <c r="G257" s="9" t="s">
        <v>89</v>
      </c>
      <c r="H257" s="9" t="s">
        <v>90</v>
      </c>
    </row>
    <row r="258" spans="1:8" x14ac:dyDescent="0.3">
      <c r="A258" s="11">
        <v>46095</v>
      </c>
      <c r="B258" s="9" t="s">
        <v>798</v>
      </c>
      <c r="C258" s="9" t="s">
        <v>799</v>
      </c>
      <c r="D258" s="9" t="s">
        <v>800</v>
      </c>
      <c r="E258" s="12">
        <v>93593.18</v>
      </c>
      <c r="F258" s="9" t="s">
        <v>88</v>
      </c>
      <c r="G258" s="9" t="s">
        <v>101</v>
      </c>
      <c r="H258" s="9" t="s">
        <v>90</v>
      </c>
    </row>
    <row r="259" spans="1:8" x14ac:dyDescent="0.3">
      <c r="A259" s="11">
        <v>46096</v>
      </c>
      <c r="B259" s="9" t="s">
        <v>801</v>
      </c>
      <c r="C259" s="9" t="s">
        <v>802</v>
      </c>
      <c r="D259" s="9" t="s">
        <v>803</v>
      </c>
      <c r="E259" s="12">
        <v>31487.83</v>
      </c>
      <c r="F259" s="9" t="s">
        <v>94</v>
      </c>
      <c r="G259" s="9" t="s">
        <v>113</v>
      </c>
      <c r="H259" s="9" t="s">
        <v>109</v>
      </c>
    </row>
    <row r="260" spans="1:8" x14ac:dyDescent="0.3">
      <c r="A260" s="11">
        <v>46096</v>
      </c>
      <c r="B260" s="9" t="s">
        <v>804</v>
      </c>
      <c r="C260" s="9" t="s">
        <v>805</v>
      </c>
      <c r="D260" s="9" t="s">
        <v>93</v>
      </c>
      <c r="E260" s="12">
        <v>477259.07</v>
      </c>
      <c r="F260" s="9" t="s">
        <v>94</v>
      </c>
      <c r="G260" s="9" t="s">
        <v>89</v>
      </c>
      <c r="H260" s="9" t="s">
        <v>90</v>
      </c>
    </row>
    <row r="261" spans="1:8" x14ac:dyDescent="0.3">
      <c r="A261" s="11">
        <v>46096</v>
      </c>
      <c r="B261" s="9" t="s">
        <v>806</v>
      </c>
      <c r="C261" s="9" t="s">
        <v>807</v>
      </c>
      <c r="D261" s="9" t="s">
        <v>141</v>
      </c>
      <c r="E261" s="12">
        <v>20020.63</v>
      </c>
      <c r="F261" s="9" t="s">
        <v>88</v>
      </c>
      <c r="G261" s="9" t="s">
        <v>89</v>
      </c>
      <c r="H261" s="9" t="s">
        <v>90</v>
      </c>
    </row>
    <row r="262" spans="1:8" x14ac:dyDescent="0.3">
      <c r="A262" s="11">
        <v>46096</v>
      </c>
      <c r="B262" s="9" t="s">
        <v>808</v>
      </c>
      <c r="C262" s="9" t="s">
        <v>809</v>
      </c>
      <c r="D262" s="9" t="s">
        <v>100</v>
      </c>
      <c r="E262" s="12">
        <v>45827.21</v>
      </c>
      <c r="F262" s="9" t="s">
        <v>88</v>
      </c>
      <c r="G262" s="9" t="s">
        <v>105</v>
      </c>
      <c r="H262" s="9" t="s">
        <v>90</v>
      </c>
    </row>
    <row r="263" spans="1:8" x14ac:dyDescent="0.3">
      <c r="A263" s="11">
        <v>46096</v>
      </c>
      <c r="B263" s="9" t="s">
        <v>810</v>
      </c>
      <c r="C263" s="9" t="s">
        <v>811</v>
      </c>
      <c r="D263" s="9" t="s">
        <v>812</v>
      </c>
      <c r="E263" s="12">
        <v>70235.16</v>
      </c>
      <c r="F263" s="9" t="s">
        <v>94</v>
      </c>
      <c r="G263" s="9" t="s">
        <v>101</v>
      </c>
      <c r="H263" s="9" t="s">
        <v>90</v>
      </c>
    </row>
    <row r="264" spans="1:8" x14ac:dyDescent="0.3">
      <c r="A264" s="11">
        <v>46097</v>
      </c>
      <c r="B264" s="9" t="s">
        <v>813</v>
      </c>
      <c r="C264" s="9" t="s">
        <v>814</v>
      </c>
      <c r="D264" s="9" t="s">
        <v>815</v>
      </c>
      <c r="E264" s="12">
        <v>26457.56</v>
      </c>
      <c r="F264" s="9" t="s">
        <v>94</v>
      </c>
      <c r="G264" s="9" t="s">
        <v>89</v>
      </c>
      <c r="H264" s="9" t="s">
        <v>142</v>
      </c>
    </row>
    <row r="265" spans="1:8" x14ac:dyDescent="0.3">
      <c r="A265" s="11">
        <v>46098</v>
      </c>
      <c r="B265" s="9" t="s">
        <v>816</v>
      </c>
      <c r="C265" s="9" t="s">
        <v>817</v>
      </c>
      <c r="D265" s="9" t="s">
        <v>818</v>
      </c>
      <c r="E265" s="12">
        <v>71241.72</v>
      </c>
      <c r="F265" s="9" t="s">
        <v>94</v>
      </c>
      <c r="G265" s="9" t="s">
        <v>113</v>
      </c>
      <c r="H265" s="9" t="s">
        <v>90</v>
      </c>
    </row>
    <row r="266" spans="1:8" x14ac:dyDescent="0.3">
      <c r="A266" s="11">
        <v>46098</v>
      </c>
      <c r="B266" s="9" t="s">
        <v>819</v>
      </c>
      <c r="C266" s="9" t="s">
        <v>820</v>
      </c>
      <c r="D266" s="9" t="s">
        <v>821</v>
      </c>
      <c r="E266" s="12">
        <v>51598.94</v>
      </c>
      <c r="F266" s="9" t="s">
        <v>88</v>
      </c>
      <c r="G266" s="9" t="s">
        <v>105</v>
      </c>
      <c r="H266" s="9" t="s">
        <v>142</v>
      </c>
    </row>
    <row r="267" spans="1:8" x14ac:dyDescent="0.3">
      <c r="A267" s="9" t="s">
        <v>822</v>
      </c>
      <c r="B267" s="9" t="s">
        <v>823</v>
      </c>
      <c r="C267" s="9" t="s">
        <v>824</v>
      </c>
      <c r="D267" s="9" t="s">
        <v>825</v>
      </c>
      <c r="E267" s="12">
        <v>150352.42000000001</v>
      </c>
      <c r="F267" s="9" t="s">
        <v>94</v>
      </c>
      <c r="G267" s="9" t="s">
        <v>89</v>
      </c>
      <c r="H267" s="9" t="s">
        <v>90</v>
      </c>
    </row>
    <row r="268" spans="1:8" x14ac:dyDescent="0.3">
      <c r="A268" s="11">
        <v>46099</v>
      </c>
      <c r="B268" s="9" t="s">
        <v>826</v>
      </c>
      <c r="C268" s="9" t="s">
        <v>827</v>
      </c>
      <c r="D268" s="9" t="s">
        <v>100</v>
      </c>
      <c r="E268" s="12">
        <v>33615.25</v>
      </c>
      <c r="F268" s="9" t="s">
        <v>88</v>
      </c>
      <c r="G268" s="9" t="s">
        <v>89</v>
      </c>
      <c r="H268" s="9" t="s">
        <v>109</v>
      </c>
    </row>
    <row r="269" spans="1:8" x14ac:dyDescent="0.3">
      <c r="A269" s="11">
        <v>46100</v>
      </c>
      <c r="B269" s="9" t="s">
        <v>828</v>
      </c>
      <c r="C269" s="9" t="s">
        <v>829</v>
      </c>
      <c r="D269" s="9" t="s">
        <v>830</v>
      </c>
      <c r="E269" s="12">
        <v>17091.53</v>
      </c>
      <c r="F269" s="9" t="s">
        <v>94</v>
      </c>
      <c r="G269" s="9" t="s">
        <v>113</v>
      </c>
      <c r="H269" s="9" t="s">
        <v>90</v>
      </c>
    </row>
    <row r="270" spans="1:8" x14ac:dyDescent="0.3">
      <c r="A270" s="11">
        <v>46100</v>
      </c>
      <c r="B270" s="9" t="s">
        <v>831</v>
      </c>
      <c r="C270" s="9" t="s">
        <v>832</v>
      </c>
      <c r="D270" s="9" t="s">
        <v>833</v>
      </c>
      <c r="E270" s="12">
        <v>98072.63</v>
      </c>
      <c r="F270" s="9" t="s">
        <v>88</v>
      </c>
      <c r="G270" s="9" t="s">
        <v>89</v>
      </c>
      <c r="H270" s="9" t="s">
        <v>90</v>
      </c>
    </row>
    <row r="271" spans="1:8" x14ac:dyDescent="0.3">
      <c r="A271" s="11">
        <v>46101</v>
      </c>
      <c r="B271" s="9" t="s">
        <v>834</v>
      </c>
      <c r="C271" s="9" t="s">
        <v>835</v>
      </c>
      <c r="D271" s="9" t="s">
        <v>836</v>
      </c>
      <c r="E271" s="12">
        <v>150476.57999999999</v>
      </c>
      <c r="F271" s="9" t="s">
        <v>94</v>
      </c>
      <c r="G271" s="9" t="s">
        <v>113</v>
      </c>
      <c r="H271" s="9" t="s">
        <v>90</v>
      </c>
    </row>
    <row r="272" spans="1:8" x14ac:dyDescent="0.3">
      <c r="A272" s="11">
        <v>46101</v>
      </c>
      <c r="B272" s="9" t="s">
        <v>837</v>
      </c>
      <c r="C272" s="9" t="s">
        <v>838</v>
      </c>
      <c r="D272" s="9" t="s">
        <v>141</v>
      </c>
      <c r="E272" s="12">
        <v>9057.7800000000007</v>
      </c>
      <c r="F272" s="9" t="s">
        <v>88</v>
      </c>
      <c r="G272" s="9" t="s">
        <v>105</v>
      </c>
      <c r="H272" s="9" t="s">
        <v>90</v>
      </c>
    </row>
    <row r="273" spans="1:8" x14ac:dyDescent="0.3">
      <c r="A273" s="11">
        <v>46101</v>
      </c>
      <c r="B273" s="9" t="s">
        <v>839</v>
      </c>
      <c r="C273" s="9" t="s">
        <v>840</v>
      </c>
      <c r="D273" s="9" t="s">
        <v>841</v>
      </c>
      <c r="E273" s="12">
        <v>104063.25</v>
      </c>
      <c r="F273" s="9" t="s">
        <v>88</v>
      </c>
      <c r="G273" s="9" t="s">
        <v>101</v>
      </c>
      <c r="H273" s="9" t="s">
        <v>90</v>
      </c>
    </row>
    <row r="274" spans="1:8" x14ac:dyDescent="0.3">
      <c r="A274" s="11">
        <v>46101</v>
      </c>
      <c r="B274" s="9" t="s">
        <v>842</v>
      </c>
      <c r="C274" s="9" t="s">
        <v>843</v>
      </c>
      <c r="D274" s="9" t="s">
        <v>844</v>
      </c>
      <c r="E274" s="12">
        <v>62565.05</v>
      </c>
      <c r="F274" s="9" t="s">
        <v>94</v>
      </c>
      <c r="G274" s="9" t="s">
        <v>89</v>
      </c>
      <c r="H274" s="9" t="s">
        <v>109</v>
      </c>
    </row>
    <row r="275" spans="1:8" x14ac:dyDescent="0.3">
      <c r="A275" s="11">
        <v>46101</v>
      </c>
      <c r="B275" s="9" t="s">
        <v>845</v>
      </c>
      <c r="C275" s="9" t="s">
        <v>846</v>
      </c>
      <c r="D275" s="9" t="s">
        <v>228</v>
      </c>
      <c r="E275" s="12">
        <v>23099.919999999998</v>
      </c>
      <c r="F275" s="9" t="s">
        <v>88</v>
      </c>
      <c r="G275" s="9" t="s">
        <v>101</v>
      </c>
      <c r="H275" s="9" t="s">
        <v>90</v>
      </c>
    </row>
    <row r="276" spans="1:8" x14ac:dyDescent="0.3">
      <c r="A276" s="11">
        <v>46102</v>
      </c>
      <c r="B276" s="9" t="s">
        <v>847</v>
      </c>
      <c r="C276" s="9" t="s">
        <v>848</v>
      </c>
      <c r="D276" s="9" t="s">
        <v>849</v>
      </c>
      <c r="E276" s="12">
        <v>69447.199999999997</v>
      </c>
      <c r="F276" s="9" t="s">
        <v>94</v>
      </c>
      <c r="G276" s="9" t="s">
        <v>113</v>
      </c>
      <c r="H276" s="9" t="s">
        <v>90</v>
      </c>
    </row>
    <row r="277" spans="1:8" x14ac:dyDescent="0.3">
      <c r="A277" s="11">
        <v>46102</v>
      </c>
      <c r="B277" s="9" t="s">
        <v>850</v>
      </c>
      <c r="C277" s="9" t="s">
        <v>851</v>
      </c>
      <c r="D277" s="9" t="s">
        <v>852</v>
      </c>
      <c r="E277" s="12">
        <v>144055.87</v>
      </c>
      <c r="F277" s="9" t="s">
        <v>88</v>
      </c>
      <c r="G277" s="9" t="s">
        <v>113</v>
      </c>
      <c r="H277" s="9" t="s">
        <v>90</v>
      </c>
    </row>
    <row r="278" spans="1:8" x14ac:dyDescent="0.3">
      <c r="A278" s="11">
        <v>46102</v>
      </c>
      <c r="B278" s="9" t="s">
        <v>853</v>
      </c>
      <c r="C278" s="9" t="s">
        <v>854</v>
      </c>
      <c r="D278" s="9" t="s">
        <v>208</v>
      </c>
      <c r="E278" s="12">
        <v>18752.599999999999</v>
      </c>
      <c r="F278" s="9" t="s">
        <v>88</v>
      </c>
      <c r="G278" s="9" t="s">
        <v>113</v>
      </c>
      <c r="H278" s="9" t="s">
        <v>90</v>
      </c>
    </row>
    <row r="279" spans="1:8" x14ac:dyDescent="0.3">
      <c r="A279" s="11">
        <v>46102</v>
      </c>
      <c r="B279" s="9" t="s">
        <v>855</v>
      </c>
      <c r="C279" s="9" t="s">
        <v>856</v>
      </c>
      <c r="D279" s="9" t="s">
        <v>857</v>
      </c>
      <c r="E279" s="12">
        <v>41915.94</v>
      </c>
      <c r="F279" s="9" t="s">
        <v>88</v>
      </c>
      <c r="G279" s="9" t="s">
        <v>89</v>
      </c>
      <c r="H279" s="9" t="s">
        <v>90</v>
      </c>
    </row>
    <row r="280" spans="1:8" x14ac:dyDescent="0.3">
      <c r="A280" s="11">
        <v>46103</v>
      </c>
      <c r="B280" s="9" t="s">
        <v>858</v>
      </c>
      <c r="C280" s="9" t="s">
        <v>859</v>
      </c>
      <c r="D280" s="9" t="s">
        <v>329</v>
      </c>
      <c r="E280" s="12">
        <v>35492.32</v>
      </c>
      <c r="F280" s="9" t="s">
        <v>88</v>
      </c>
      <c r="G280" s="9" t="s">
        <v>89</v>
      </c>
      <c r="H280" s="9" t="s">
        <v>90</v>
      </c>
    </row>
    <row r="281" spans="1:8" x14ac:dyDescent="0.3">
      <c r="A281" s="11">
        <v>46103</v>
      </c>
      <c r="B281" s="9" t="s">
        <v>860</v>
      </c>
      <c r="C281" s="9" t="s">
        <v>861</v>
      </c>
      <c r="D281" s="9" t="s">
        <v>862</v>
      </c>
      <c r="E281" s="12">
        <v>21621.25</v>
      </c>
      <c r="F281" s="9" t="s">
        <v>94</v>
      </c>
      <c r="G281" s="9" t="s">
        <v>101</v>
      </c>
      <c r="H281" s="9" t="s">
        <v>90</v>
      </c>
    </row>
    <row r="282" spans="1:8" x14ac:dyDescent="0.3">
      <c r="A282" s="11">
        <v>46103</v>
      </c>
      <c r="B282" s="9" t="s">
        <v>863</v>
      </c>
      <c r="C282" s="9" t="s">
        <v>864</v>
      </c>
      <c r="D282" s="9" t="s">
        <v>865</v>
      </c>
      <c r="E282" s="12">
        <v>32501.08</v>
      </c>
      <c r="F282" s="9" t="s">
        <v>88</v>
      </c>
      <c r="G282" s="9" t="s">
        <v>105</v>
      </c>
      <c r="H282" s="9" t="s">
        <v>90</v>
      </c>
    </row>
    <row r="283" spans="1:8" x14ac:dyDescent="0.3">
      <c r="A283" s="11">
        <v>46104</v>
      </c>
      <c r="B283" s="9" t="s">
        <v>866</v>
      </c>
      <c r="C283" s="9" t="s">
        <v>867</v>
      </c>
      <c r="D283" s="9" t="s">
        <v>868</v>
      </c>
      <c r="E283" s="12">
        <v>91792.05</v>
      </c>
      <c r="F283" s="9" t="s">
        <v>88</v>
      </c>
      <c r="G283" s="9" t="s">
        <v>113</v>
      </c>
      <c r="H283" s="9" t="s">
        <v>142</v>
      </c>
    </row>
    <row r="284" spans="1:8" x14ac:dyDescent="0.3">
      <c r="A284" s="11">
        <v>46104</v>
      </c>
      <c r="B284" s="9" t="s">
        <v>869</v>
      </c>
      <c r="C284" s="9" t="s">
        <v>870</v>
      </c>
      <c r="D284" s="9" t="s">
        <v>329</v>
      </c>
      <c r="E284" s="12">
        <v>48528.43</v>
      </c>
      <c r="F284" s="9" t="s">
        <v>88</v>
      </c>
      <c r="G284" s="9" t="s">
        <v>113</v>
      </c>
      <c r="H284" s="9" t="s">
        <v>142</v>
      </c>
    </row>
    <row r="285" spans="1:8" x14ac:dyDescent="0.3">
      <c r="A285" s="11">
        <v>46104</v>
      </c>
      <c r="B285" s="9" t="s">
        <v>871</v>
      </c>
      <c r="C285" s="9" t="s">
        <v>872</v>
      </c>
      <c r="D285" s="9" t="s">
        <v>873</v>
      </c>
      <c r="E285" s="12">
        <v>87793.36</v>
      </c>
      <c r="F285" s="9" t="s">
        <v>94</v>
      </c>
      <c r="G285" s="9" t="s">
        <v>89</v>
      </c>
      <c r="H285" s="9" t="s">
        <v>90</v>
      </c>
    </row>
    <row r="286" spans="1:8" x14ac:dyDescent="0.3">
      <c r="A286" s="11">
        <v>46105</v>
      </c>
      <c r="B286" s="9" t="s">
        <v>874</v>
      </c>
      <c r="C286" s="9" t="s">
        <v>875</v>
      </c>
      <c r="D286" s="9" t="s">
        <v>93</v>
      </c>
      <c r="E286" s="12">
        <v>443242.61</v>
      </c>
      <c r="F286" s="9" t="s">
        <v>88</v>
      </c>
      <c r="G286" s="9" t="s">
        <v>101</v>
      </c>
      <c r="H286" s="9" t="s">
        <v>90</v>
      </c>
    </row>
    <row r="287" spans="1:8" x14ac:dyDescent="0.3">
      <c r="A287" s="11">
        <v>46105</v>
      </c>
      <c r="B287" s="9" t="s">
        <v>876</v>
      </c>
      <c r="C287" s="9" t="s">
        <v>877</v>
      </c>
      <c r="D287" s="9" t="s">
        <v>878</v>
      </c>
      <c r="E287" s="12">
        <v>51551.7</v>
      </c>
      <c r="F287" s="9" t="s">
        <v>94</v>
      </c>
      <c r="G287" s="9" t="s">
        <v>101</v>
      </c>
      <c r="H287" s="9" t="s">
        <v>90</v>
      </c>
    </row>
    <row r="288" spans="1:8" x14ac:dyDescent="0.3">
      <c r="A288" s="11">
        <v>46105</v>
      </c>
      <c r="B288" s="9" t="s">
        <v>879</v>
      </c>
      <c r="C288" s="9" t="s">
        <v>880</v>
      </c>
      <c r="D288" s="9" t="s">
        <v>228</v>
      </c>
      <c r="E288" s="12">
        <v>15461.02</v>
      </c>
      <c r="F288" s="9" t="s">
        <v>88</v>
      </c>
      <c r="G288" s="9" t="s">
        <v>105</v>
      </c>
      <c r="H288" s="9" t="s">
        <v>90</v>
      </c>
    </row>
    <row r="289" spans="1:8" x14ac:dyDescent="0.3">
      <c r="A289" s="11">
        <v>46105</v>
      </c>
      <c r="B289" s="9" t="s">
        <v>881</v>
      </c>
      <c r="C289" s="9" t="s">
        <v>882</v>
      </c>
      <c r="D289" s="9" t="s">
        <v>883</v>
      </c>
      <c r="E289" s="12">
        <v>106351.55</v>
      </c>
      <c r="F289" s="9" t="s">
        <v>88</v>
      </c>
      <c r="G289" s="9" t="s">
        <v>113</v>
      </c>
      <c r="H289" s="9" t="s">
        <v>90</v>
      </c>
    </row>
    <row r="290" spans="1:8" x14ac:dyDescent="0.3">
      <c r="A290" s="11">
        <v>46105</v>
      </c>
      <c r="B290" s="9" t="s">
        <v>884</v>
      </c>
      <c r="C290" s="9" t="s">
        <v>885</v>
      </c>
      <c r="D290" s="9" t="s">
        <v>100</v>
      </c>
      <c r="E290" s="12">
        <v>16694.38</v>
      </c>
      <c r="F290" s="9" t="s">
        <v>88</v>
      </c>
      <c r="G290" s="9" t="s">
        <v>105</v>
      </c>
      <c r="H290" s="9" t="s">
        <v>142</v>
      </c>
    </row>
    <row r="291" spans="1:8" x14ac:dyDescent="0.3">
      <c r="A291" s="11">
        <v>46106</v>
      </c>
      <c r="B291" s="9" t="s">
        <v>886</v>
      </c>
      <c r="C291" s="9" t="s">
        <v>887</v>
      </c>
      <c r="D291" s="9" t="s">
        <v>888</v>
      </c>
      <c r="E291" s="12">
        <v>58927.67</v>
      </c>
      <c r="F291" s="9" t="s">
        <v>94</v>
      </c>
      <c r="G291" s="9" t="s">
        <v>89</v>
      </c>
      <c r="H291" s="9" t="s">
        <v>90</v>
      </c>
    </row>
    <row r="292" spans="1:8" x14ac:dyDescent="0.3">
      <c r="A292" s="11">
        <v>46106</v>
      </c>
      <c r="B292" s="9" t="s">
        <v>889</v>
      </c>
      <c r="C292" s="9" t="s">
        <v>890</v>
      </c>
      <c r="D292" s="9" t="s">
        <v>329</v>
      </c>
      <c r="E292" s="12">
        <v>43619.43</v>
      </c>
      <c r="F292" s="9" t="s">
        <v>88</v>
      </c>
      <c r="G292" s="9" t="s">
        <v>105</v>
      </c>
      <c r="H292" s="9" t="s">
        <v>90</v>
      </c>
    </row>
    <row r="293" spans="1:8" x14ac:dyDescent="0.3">
      <c r="A293" s="11">
        <v>46106</v>
      </c>
      <c r="B293" s="9" t="s">
        <v>891</v>
      </c>
      <c r="C293" s="9" t="s">
        <v>892</v>
      </c>
      <c r="D293" s="9" t="s">
        <v>893</v>
      </c>
      <c r="E293" s="12">
        <v>29489.3</v>
      </c>
      <c r="F293" s="9" t="s">
        <v>94</v>
      </c>
      <c r="G293" s="9" t="s">
        <v>101</v>
      </c>
      <c r="H293" s="9" t="s">
        <v>142</v>
      </c>
    </row>
    <row r="294" spans="1:8" x14ac:dyDescent="0.3">
      <c r="A294" s="11">
        <v>46107</v>
      </c>
      <c r="B294" s="9" t="s">
        <v>894</v>
      </c>
      <c r="C294" s="9" t="s">
        <v>895</v>
      </c>
      <c r="D294" s="9" t="s">
        <v>896</v>
      </c>
      <c r="E294" s="12">
        <v>36672.720000000001</v>
      </c>
      <c r="F294" s="9" t="s">
        <v>88</v>
      </c>
      <c r="G294" s="9" t="s">
        <v>105</v>
      </c>
      <c r="H294" s="9" t="s">
        <v>90</v>
      </c>
    </row>
    <row r="295" spans="1:8" x14ac:dyDescent="0.3">
      <c r="A295" s="11">
        <v>46108</v>
      </c>
      <c r="B295" s="9" t="s">
        <v>897</v>
      </c>
      <c r="C295" s="9" t="s">
        <v>898</v>
      </c>
      <c r="D295" s="9" t="s">
        <v>93</v>
      </c>
      <c r="E295" s="12">
        <v>404860.29</v>
      </c>
      <c r="F295" s="9" t="s">
        <v>88</v>
      </c>
      <c r="G295" s="9" t="s">
        <v>101</v>
      </c>
      <c r="H295" s="9" t="s">
        <v>109</v>
      </c>
    </row>
    <row r="296" spans="1:8" x14ac:dyDescent="0.3">
      <c r="A296" s="11">
        <v>46108</v>
      </c>
      <c r="B296" s="9" t="s">
        <v>899</v>
      </c>
      <c r="C296" s="9" t="s">
        <v>900</v>
      </c>
      <c r="D296" s="9" t="s">
        <v>901</v>
      </c>
      <c r="E296" s="12">
        <v>103490.06</v>
      </c>
      <c r="F296" s="9" t="s">
        <v>88</v>
      </c>
      <c r="G296" s="9" t="s">
        <v>89</v>
      </c>
      <c r="H296" s="9" t="s">
        <v>90</v>
      </c>
    </row>
    <row r="297" spans="1:8" x14ac:dyDescent="0.3">
      <c r="A297" s="11">
        <v>46108</v>
      </c>
      <c r="B297" s="9" t="s">
        <v>902</v>
      </c>
      <c r="C297" s="9" t="s">
        <v>903</v>
      </c>
      <c r="D297" s="9" t="s">
        <v>904</v>
      </c>
      <c r="E297" s="12">
        <v>154100.65</v>
      </c>
      <c r="F297" s="9" t="s">
        <v>94</v>
      </c>
      <c r="G297" s="9" t="s">
        <v>113</v>
      </c>
      <c r="H297" s="9" t="s">
        <v>90</v>
      </c>
    </row>
    <row r="298" spans="1:8" x14ac:dyDescent="0.3">
      <c r="A298" s="11">
        <v>46110</v>
      </c>
      <c r="B298" s="9" t="s">
        <v>905</v>
      </c>
      <c r="C298" s="9" t="s">
        <v>906</v>
      </c>
      <c r="D298" s="9" t="s">
        <v>220</v>
      </c>
      <c r="E298" s="12">
        <v>442.07</v>
      </c>
      <c r="F298" s="9" t="s">
        <v>88</v>
      </c>
      <c r="G298" s="9" t="s">
        <v>101</v>
      </c>
      <c r="H298" s="9" t="s">
        <v>90</v>
      </c>
    </row>
    <row r="299" spans="1:8" x14ac:dyDescent="0.3">
      <c r="A299" s="11">
        <v>46110</v>
      </c>
      <c r="B299" s="9" t="s">
        <v>907</v>
      </c>
      <c r="C299" s="9" t="s">
        <v>908</v>
      </c>
      <c r="D299" s="9" t="s">
        <v>909</v>
      </c>
      <c r="E299" s="12">
        <v>48521.17</v>
      </c>
      <c r="F299" s="9" t="s">
        <v>88</v>
      </c>
      <c r="G299" s="9" t="s">
        <v>105</v>
      </c>
      <c r="H299" s="9" t="s">
        <v>90</v>
      </c>
    </row>
    <row r="300" spans="1:8" x14ac:dyDescent="0.3">
      <c r="A300" s="11">
        <v>46110</v>
      </c>
      <c r="B300" s="9" t="s">
        <v>910</v>
      </c>
      <c r="C300" s="9" t="s">
        <v>911</v>
      </c>
      <c r="D300" s="9" t="s">
        <v>912</v>
      </c>
      <c r="E300" s="12">
        <v>198244.54</v>
      </c>
      <c r="F300" s="9" t="s">
        <v>94</v>
      </c>
      <c r="G300" s="9" t="s">
        <v>89</v>
      </c>
      <c r="H300" s="9" t="s">
        <v>142</v>
      </c>
    </row>
    <row r="301" spans="1:8" x14ac:dyDescent="0.3">
      <c r="A301" s="11">
        <v>46110</v>
      </c>
      <c r="B301" s="9" t="s">
        <v>913</v>
      </c>
      <c r="C301" s="9" t="s">
        <v>914</v>
      </c>
      <c r="D301" s="9" t="s">
        <v>915</v>
      </c>
      <c r="E301" s="12">
        <v>17833.98</v>
      </c>
      <c r="F301" s="9" t="s">
        <v>94</v>
      </c>
      <c r="G301" s="9" t="s">
        <v>113</v>
      </c>
      <c r="H301" s="9" t="s">
        <v>90</v>
      </c>
    </row>
    <row r="302" spans="1:8" x14ac:dyDescent="0.3">
      <c r="A302" s="11">
        <v>46110</v>
      </c>
      <c r="B302" s="9" t="s">
        <v>916</v>
      </c>
      <c r="C302" s="9" t="s">
        <v>917</v>
      </c>
      <c r="D302" s="9" t="s">
        <v>918</v>
      </c>
      <c r="E302" s="12">
        <v>127672.35</v>
      </c>
      <c r="F302" s="9" t="s">
        <v>88</v>
      </c>
      <c r="G302" s="9" t="s">
        <v>89</v>
      </c>
      <c r="H302" s="9" t="s">
        <v>90</v>
      </c>
    </row>
    <row r="303" spans="1:8" x14ac:dyDescent="0.3">
      <c r="A303" s="11">
        <v>46111</v>
      </c>
      <c r="B303" s="9" t="s">
        <v>919</v>
      </c>
      <c r="C303" s="9" t="s">
        <v>920</v>
      </c>
      <c r="D303" s="9" t="s">
        <v>220</v>
      </c>
      <c r="E303" s="12">
        <v>35081.49</v>
      </c>
      <c r="F303" s="9" t="s">
        <v>88</v>
      </c>
      <c r="G303" s="9" t="s">
        <v>89</v>
      </c>
      <c r="H303" s="9" t="s">
        <v>90</v>
      </c>
    </row>
    <row r="304" spans="1:8" x14ac:dyDescent="0.3">
      <c r="A304" s="11">
        <v>46111</v>
      </c>
      <c r="B304" s="9" t="s">
        <v>921</v>
      </c>
      <c r="C304" s="9" t="s">
        <v>922</v>
      </c>
      <c r="D304" s="9" t="s">
        <v>923</v>
      </c>
      <c r="E304" s="12">
        <v>50666.26</v>
      </c>
      <c r="F304" s="9" t="s">
        <v>94</v>
      </c>
      <c r="G304" s="9" t="s">
        <v>89</v>
      </c>
      <c r="H304" s="9" t="s">
        <v>90</v>
      </c>
    </row>
    <row r="305" spans="1:8" x14ac:dyDescent="0.3">
      <c r="A305" s="11">
        <v>46112</v>
      </c>
      <c r="B305" s="9" t="s">
        <v>924</v>
      </c>
      <c r="C305" s="9" t="s">
        <v>925</v>
      </c>
      <c r="D305" s="9" t="s">
        <v>926</v>
      </c>
      <c r="E305" s="12">
        <v>151963.49</v>
      </c>
      <c r="F305" s="9" t="s">
        <v>94</v>
      </c>
      <c r="G305" s="9" t="s">
        <v>113</v>
      </c>
      <c r="H305" s="9" t="s">
        <v>90</v>
      </c>
    </row>
    <row r="306" spans="1:8" x14ac:dyDescent="0.3">
      <c r="A306" s="11">
        <v>46112</v>
      </c>
      <c r="B306" s="9" t="s">
        <v>927</v>
      </c>
      <c r="C306" s="9" t="s">
        <v>928</v>
      </c>
      <c r="D306" s="9" t="s">
        <v>929</v>
      </c>
      <c r="E306" s="12">
        <v>111144.01</v>
      </c>
      <c r="F306" s="9" t="s">
        <v>94</v>
      </c>
      <c r="G306" s="9" t="s">
        <v>101</v>
      </c>
      <c r="H306" s="9" t="s">
        <v>142</v>
      </c>
    </row>
    <row r="307" spans="1:8" x14ac:dyDescent="0.3">
      <c r="A307" s="11">
        <v>46112</v>
      </c>
      <c r="B307" s="9" t="s">
        <v>930</v>
      </c>
      <c r="C307" s="9" t="s">
        <v>931</v>
      </c>
      <c r="D307" s="9" t="s">
        <v>932</v>
      </c>
      <c r="E307" s="12">
        <v>99709.85</v>
      </c>
      <c r="F307" s="9" t="s">
        <v>94</v>
      </c>
      <c r="G307" s="9" t="s">
        <v>105</v>
      </c>
      <c r="H307" s="9" t="s">
        <v>90</v>
      </c>
    </row>
    <row r="308" spans="1:8" x14ac:dyDescent="0.3">
      <c r="A308" s="11">
        <v>46112</v>
      </c>
      <c r="B308" s="9" t="s">
        <v>933</v>
      </c>
      <c r="C308" s="9" t="s">
        <v>934</v>
      </c>
      <c r="D308" s="9" t="s">
        <v>208</v>
      </c>
      <c r="E308" s="12">
        <v>12342.8</v>
      </c>
      <c r="F308" s="9" t="s">
        <v>88</v>
      </c>
      <c r="G308" s="9" t="s">
        <v>89</v>
      </c>
      <c r="H308" s="9" t="s">
        <v>90</v>
      </c>
    </row>
    <row r="309" spans="1:8" x14ac:dyDescent="0.3">
      <c r="A309" s="11">
        <v>46113</v>
      </c>
      <c r="B309" s="9" t="s">
        <v>935</v>
      </c>
      <c r="C309" s="9" t="s">
        <v>936</v>
      </c>
      <c r="D309" s="9" t="s">
        <v>937</v>
      </c>
      <c r="E309" s="12">
        <v>130267.78</v>
      </c>
      <c r="F309" s="9" t="s">
        <v>94</v>
      </c>
      <c r="G309" s="9" t="s">
        <v>113</v>
      </c>
      <c r="H309" s="9" t="s">
        <v>90</v>
      </c>
    </row>
    <row r="310" spans="1:8" x14ac:dyDescent="0.3">
      <c r="A310" s="11">
        <v>46113</v>
      </c>
      <c r="B310" s="9" t="s">
        <v>938</v>
      </c>
      <c r="C310" s="9" t="s">
        <v>939</v>
      </c>
      <c r="D310" s="9" t="s">
        <v>141</v>
      </c>
      <c r="E310" s="12">
        <v>25701.11</v>
      </c>
      <c r="F310" s="9" t="s">
        <v>88</v>
      </c>
      <c r="G310" s="9" t="s">
        <v>89</v>
      </c>
      <c r="H310" s="9" t="s">
        <v>109</v>
      </c>
    </row>
    <row r="311" spans="1:8" x14ac:dyDescent="0.3">
      <c r="A311" s="11">
        <v>46113</v>
      </c>
      <c r="B311" s="9" t="s">
        <v>940</v>
      </c>
      <c r="C311" s="9" t="s">
        <v>941</v>
      </c>
      <c r="D311" s="9" t="s">
        <v>942</v>
      </c>
      <c r="E311" s="12">
        <v>117254.05</v>
      </c>
      <c r="F311" s="9" t="s">
        <v>88</v>
      </c>
      <c r="G311" s="9" t="s">
        <v>89</v>
      </c>
      <c r="H311" s="9" t="s">
        <v>90</v>
      </c>
    </row>
    <row r="312" spans="1:8" x14ac:dyDescent="0.3">
      <c r="A312" s="11">
        <v>46114</v>
      </c>
      <c r="B312" s="9" t="s">
        <v>943</v>
      </c>
      <c r="C312" s="9" t="s">
        <v>944</v>
      </c>
      <c r="D312" s="9" t="s">
        <v>945</v>
      </c>
      <c r="E312" s="12">
        <v>164368.81</v>
      </c>
      <c r="F312" s="9" t="s">
        <v>94</v>
      </c>
      <c r="G312" s="9" t="s">
        <v>89</v>
      </c>
      <c r="H312" s="9" t="s">
        <v>90</v>
      </c>
    </row>
    <row r="313" spans="1:8" x14ac:dyDescent="0.3">
      <c r="A313" s="11">
        <v>46114</v>
      </c>
      <c r="B313" s="9" t="s">
        <v>946</v>
      </c>
      <c r="C313" s="9" t="s">
        <v>947</v>
      </c>
      <c r="D313" s="9" t="s">
        <v>948</v>
      </c>
      <c r="E313" s="12">
        <v>133186.81</v>
      </c>
      <c r="F313" s="9" t="s">
        <v>94</v>
      </c>
      <c r="G313" s="9" t="s">
        <v>101</v>
      </c>
      <c r="H313" s="9" t="s">
        <v>90</v>
      </c>
    </row>
    <row r="314" spans="1:8" x14ac:dyDescent="0.3">
      <c r="A314" s="11">
        <v>46115</v>
      </c>
      <c r="B314" s="9" t="s">
        <v>949</v>
      </c>
      <c r="C314" s="9" t="s">
        <v>950</v>
      </c>
      <c r="D314" s="9" t="s">
        <v>100</v>
      </c>
      <c r="E314" s="12">
        <v>23477.200000000001</v>
      </c>
      <c r="F314" s="9" t="s">
        <v>88</v>
      </c>
      <c r="G314" s="9" t="s">
        <v>89</v>
      </c>
      <c r="H314" s="9" t="s">
        <v>142</v>
      </c>
    </row>
    <row r="315" spans="1:8" x14ac:dyDescent="0.3">
      <c r="A315" s="11">
        <v>46115</v>
      </c>
      <c r="B315" s="9" t="s">
        <v>951</v>
      </c>
      <c r="C315" s="9" t="s">
        <v>952</v>
      </c>
      <c r="D315" s="9" t="s">
        <v>953</v>
      </c>
      <c r="E315" s="12">
        <v>96634.16</v>
      </c>
      <c r="F315" s="9" t="s">
        <v>88</v>
      </c>
      <c r="G315" s="9" t="s">
        <v>89</v>
      </c>
      <c r="H315" s="9" t="s">
        <v>90</v>
      </c>
    </row>
    <row r="316" spans="1:8" x14ac:dyDescent="0.3">
      <c r="A316" s="11">
        <v>46115</v>
      </c>
      <c r="B316" s="9" t="s">
        <v>954</v>
      </c>
      <c r="C316" s="9" t="s">
        <v>955</v>
      </c>
      <c r="D316" s="9" t="s">
        <v>956</v>
      </c>
      <c r="E316" s="12">
        <v>57306.85</v>
      </c>
      <c r="F316" s="9" t="s">
        <v>88</v>
      </c>
      <c r="G316" s="9" t="s">
        <v>101</v>
      </c>
      <c r="H316" s="9" t="s">
        <v>109</v>
      </c>
    </row>
    <row r="317" spans="1:8" x14ac:dyDescent="0.3">
      <c r="A317" s="11">
        <v>46115</v>
      </c>
      <c r="B317" s="9" t="s">
        <v>957</v>
      </c>
      <c r="C317" s="9"/>
      <c r="D317" s="9" t="s">
        <v>958</v>
      </c>
      <c r="E317" s="12">
        <v>81366.929999999993</v>
      </c>
      <c r="F317" s="9" t="s">
        <v>88</v>
      </c>
      <c r="G317" s="9" t="s">
        <v>101</v>
      </c>
      <c r="H317" s="9" t="s">
        <v>90</v>
      </c>
    </row>
    <row r="318" spans="1:8" x14ac:dyDescent="0.3">
      <c r="A318" s="11">
        <v>46116</v>
      </c>
      <c r="B318" s="9" t="s">
        <v>959</v>
      </c>
      <c r="C318" s="9" t="s">
        <v>960</v>
      </c>
      <c r="D318" s="9" t="s">
        <v>100</v>
      </c>
      <c r="E318" s="12">
        <v>5730.98</v>
      </c>
      <c r="F318" s="9" t="s">
        <v>88</v>
      </c>
      <c r="G318" s="9" t="s">
        <v>89</v>
      </c>
      <c r="H318" s="9" t="s">
        <v>90</v>
      </c>
    </row>
    <row r="319" spans="1:8" x14ac:dyDescent="0.3">
      <c r="A319" s="11">
        <v>46116</v>
      </c>
      <c r="B319" s="9" t="s">
        <v>961</v>
      </c>
      <c r="C319" s="9" t="s">
        <v>962</v>
      </c>
      <c r="D319" s="9" t="s">
        <v>963</v>
      </c>
      <c r="E319" s="12">
        <v>128476.8</v>
      </c>
      <c r="F319" s="9" t="s">
        <v>94</v>
      </c>
      <c r="G319" s="9" t="s">
        <v>89</v>
      </c>
      <c r="H319" s="9" t="s">
        <v>90</v>
      </c>
    </row>
    <row r="320" spans="1:8" x14ac:dyDescent="0.3">
      <c r="A320" s="11">
        <v>46116</v>
      </c>
      <c r="B320" s="9" t="s">
        <v>964</v>
      </c>
      <c r="C320" s="9" t="s">
        <v>965</v>
      </c>
      <c r="D320" s="9" t="s">
        <v>966</v>
      </c>
      <c r="E320" s="12">
        <v>84419.79</v>
      </c>
      <c r="F320" s="9" t="s">
        <v>88</v>
      </c>
      <c r="G320" s="9" t="s">
        <v>113</v>
      </c>
      <c r="H320" s="9" t="s">
        <v>90</v>
      </c>
    </row>
    <row r="321" spans="1:8" x14ac:dyDescent="0.3">
      <c r="A321" s="11">
        <v>46116</v>
      </c>
      <c r="B321" s="9" t="s">
        <v>967</v>
      </c>
      <c r="C321" s="9" t="s">
        <v>968</v>
      </c>
      <c r="D321" s="9" t="s">
        <v>969</v>
      </c>
      <c r="E321" s="12">
        <v>52514.59</v>
      </c>
      <c r="F321" s="9" t="s">
        <v>88</v>
      </c>
      <c r="G321" s="9" t="s">
        <v>105</v>
      </c>
      <c r="H321" s="9" t="s">
        <v>90</v>
      </c>
    </row>
    <row r="322" spans="1:8" x14ac:dyDescent="0.3">
      <c r="A322" s="11">
        <v>46117</v>
      </c>
      <c r="B322" s="9" t="s">
        <v>970</v>
      </c>
      <c r="C322" s="9" t="s">
        <v>971</v>
      </c>
      <c r="D322" s="9" t="s">
        <v>972</v>
      </c>
      <c r="E322" s="12">
        <v>85799.16</v>
      </c>
      <c r="F322" s="9" t="s">
        <v>88</v>
      </c>
      <c r="G322" s="9" t="s">
        <v>89</v>
      </c>
      <c r="H322" s="9" t="s">
        <v>142</v>
      </c>
    </row>
    <row r="323" spans="1:8" x14ac:dyDescent="0.3">
      <c r="A323" s="11">
        <v>46118</v>
      </c>
      <c r="B323" s="9" t="s">
        <v>973</v>
      </c>
      <c r="C323" s="9" t="s">
        <v>974</v>
      </c>
      <c r="D323" s="9" t="s">
        <v>975</v>
      </c>
      <c r="E323" s="12">
        <v>6676.38</v>
      </c>
      <c r="F323" s="9" t="s">
        <v>88</v>
      </c>
      <c r="G323" s="9" t="s">
        <v>89</v>
      </c>
      <c r="H323" s="9" t="s">
        <v>109</v>
      </c>
    </row>
    <row r="324" spans="1:8" x14ac:dyDescent="0.3">
      <c r="A324" s="11">
        <v>46119</v>
      </c>
      <c r="B324" s="9" t="s">
        <v>976</v>
      </c>
      <c r="C324" s="9" t="s">
        <v>977</v>
      </c>
      <c r="D324" s="9" t="s">
        <v>220</v>
      </c>
      <c r="E324" s="12">
        <v>48710.98</v>
      </c>
      <c r="F324" s="9" t="s">
        <v>88</v>
      </c>
      <c r="G324" s="9" t="s">
        <v>89</v>
      </c>
      <c r="H324" s="9" t="s">
        <v>90</v>
      </c>
    </row>
    <row r="325" spans="1:8" x14ac:dyDescent="0.3">
      <c r="A325" s="11">
        <v>46119</v>
      </c>
      <c r="B325" s="9" t="s">
        <v>978</v>
      </c>
      <c r="C325" s="9" t="s">
        <v>979</v>
      </c>
      <c r="D325" s="9" t="s">
        <v>980</v>
      </c>
      <c r="E325" s="12">
        <v>27929.49</v>
      </c>
      <c r="F325" s="9" t="s">
        <v>88</v>
      </c>
      <c r="G325" s="9" t="s">
        <v>89</v>
      </c>
      <c r="H325" s="9" t="s">
        <v>109</v>
      </c>
    </row>
    <row r="326" spans="1:8" x14ac:dyDescent="0.3">
      <c r="A326" s="11">
        <v>46119</v>
      </c>
      <c r="B326" s="9" t="s">
        <v>981</v>
      </c>
      <c r="C326" s="9" t="s">
        <v>982</v>
      </c>
      <c r="D326" s="9" t="s">
        <v>983</v>
      </c>
      <c r="E326" s="12">
        <v>133427.88</v>
      </c>
      <c r="F326" s="9" t="s">
        <v>88</v>
      </c>
      <c r="G326" s="9" t="s">
        <v>105</v>
      </c>
      <c r="H326" s="9" t="s">
        <v>90</v>
      </c>
    </row>
    <row r="327" spans="1:8" x14ac:dyDescent="0.3">
      <c r="A327" s="11">
        <v>46238</v>
      </c>
      <c r="B327" s="9" t="s">
        <v>984</v>
      </c>
      <c r="C327" s="9" t="s">
        <v>985</v>
      </c>
      <c r="D327" s="9" t="s">
        <v>986</v>
      </c>
      <c r="E327" s="12">
        <v>90656.23</v>
      </c>
      <c r="F327" s="9" t="s">
        <v>94</v>
      </c>
      <c r="G327" s="9" t="s">
        <v>101</v>
      </c>
      <c r="H327" s="9" t="s">
        <v>90</v>
      </c>
    </row>
    <row r="328" spans="1:8" x14ac:dyDescent="0.3">
      <c r="A328" s="11">
        <v>46120</v>
      </c>
      <c r="B328" s="9" t="s">
        <v>987</v>
      </c>
      <c r="C328" s="9" t="s">
        <v>988</v>
      </c>
      <c r="D328" s="9" t="s">
        <v>220</v>
      </c>
      <c r="E328" s="12">
        <v>43577.69</v>
      </c>
      <c r="F328" s="9" t="s">
        <v>88</v>
      </c>
      <c r="G328" s="9" t="s">
        <v>113</v>
      </c>
      <c r="H328" s="9" t="s">
        <v>90</v>
      </c>
    </row>
    <row r="329" spans="1:8" x14ac:dyDescent="0.3">
      <c r="A329" s="11">
        <v>46120</v>
      </c>
      <c r="B329" s="9" t="s">
        <v>989</v>
      </c>
      <c r="C329" s="9" t="s">
        <v>990</v>
      </c>
      <c r="D329" s="9" t="s">
        <v>108</v>
      </c>
      <c r="E329" s="12">
        <v>911.02</v>
      </c>
      <c r="F329" s="9" t="s">
        <v>88</v>
      </c>
      <c r="G329" s="9" t="s">
        <v>105</v>
      </c>
      <c r="H329" s="9" t="s">
        <v>109</v>
      </c>
    </row>
    <row r="330" spans="1:8" x14ac:dyDescent="0.3">
      <c r="A330" s="11">
        <v>46121</v>
      </c>
      <c r="B330" s="9" t="s">
        <v>991</v>
      </c>
      <c r="C330" s="9" t="s">
        <v>992</v>
      </c>
      <c r="D330" s="9" t="s">
        <v>993</v>
      </c>
      <c r="E330" s="12">
        <v>63213</v>
      </c>
      <c r="F330" s="9" t="s">
        <v>88</v>
      </c>
      <c r="G330" s="9" t="s">
        <v>105</v>
      </c>
      <c r="H330" s="9" t="s">
        <v>142</v>
      </c>
    </row>
    <row r="331" spans="1:8" x14ac:dyDescent="0.3">
      <c r="A331" s="11">
        <v>46121</v>
      </c>
      <c r="B331" s="9" t="s">
        <v>994</v>
      </c>
      <c r="C331" s="9" t="s">
        <v>995</v>
      </c>
      <c r="D331" s="9" t="s">
        <v>996</v>
      </c>
      <c r="E331" s="12">
        <v>82358.350000000006</v>
      </c>
      <c r="F331" s="9" t="s">
        <v>88</v>
      </c>
      <c r="G331" s="9" t="s">
        <v>101</v>
      </c>
      <c r="H331" s="9" t="s">
        <v>90</v>
      </c>
    </row>
    <row r="332" spans="1:8" x14ac:dyDescent="0.3">
      <c r="A332" s="11">
        <v>46121</v>
      </c>
      <c r="B332" s="9" t="s">
        <v>997</v>
      </c>
      <c r="C332" s="9" t="s">
        <v>998</v>
      </c>
      <c r="D332" s="9" t="s">
        <v>191</v>
      </c>
      <c r="E332" s="12">
        <v>16761.78</v>
      </c>
      <c r="F332" s="9" t="s">
        <v>88</v>
      </c>
      <c r="G332" s="9" t="s">
        <v>105</v>
      </c>
      <c r="H332" s="9" t="s">
        <v>90</v>
      </c>
    </row>
    <row r="333" spans="1:8" x14ac:dyDescent="0.3">
      <c r="A333" s="11">
        <v>46121</v>
      </c>
      <c r="B333" s="9" t="s">
        <v>999</v>
      </c>
      <c r="C333" s="9" t="s">
        <v>1000</v>
      </c>
      <c r="D333" s="9" t="s">
        <v>1001</v>
      </c>
      <c r="E333" s="12">
        <v>137637.25</v>
      </c>
      <c r="F333" s="9" t="s">
        <v>88</v>
      </c>
      <c r="G333" s="9" t="s">
        <v>113</v>
      </c>
      <c r="H333" s="9" t="s">
        <v>90</v>
      </c>
    </row>
    <row r="334" spans="1:8" x14ac:dyDescent="0.3">
      <c r="A334" s="11">
        <v>46122</v>
      </c>
      <c r="B334" s="9" t="s">
        <v>1002</v>
      </c>
      <c r="C334" s="9" t="s">
        <v>1003</v>
      </c>
      <c r="D334" s="9" t="s">
        <v>1004</v>
      </c>
      <c r="E334" s="12">
        <v>96349.4</v>
      </c>
      <c r="F334" s="9" t="s">
        <v>94</v>
      </c>
      <c r="G334" s="9" t="s">
        <v>101</v>
      </c>
      <c r="H334" s="9" t="s">
        <v>142</v>
      </c>
    </row>
    <row r="335" spans="1:8" x14ac:dyDescent="0.3">
      <c r="A335" s="11">
        <v>46123</v>
      </c>
      <c r="B335" s="9" t="s">
        <v>1005</v>
      </c>
      <c r="C335" s="9" t="s">
        <v>1006</v>
      </c>
      <c r="D335" s="9" t="s">
        <v>1007</v>
      </c>
      <c r="E335" s="12">
        <v>109607.41</v>
      </c>
      <c r="F335" s="9" t="s">
        <v>88</v>
      </c>
      <c r="G335" s="9" t="s">
        <v>105</v>
      </c>
      <c r="H335" s="9" t="s">
        <v>90</v>
      </c>
    </row>
    <row r="336" spans="1:8" x14ac:dyDescent="0.3">
      <c r="A336" s="11">
        <v>46123</v>
      </c>
      <c r="B336" s="9" t="s">
        <v>1008</v>
      </c>
      <c r="C336" s="9" t="s">
        <v>1009</v>
      </c>
      <c r="D336" s="9" t="s">
        <v>1010</v>
      </c>
      <c r="E336" s="12">
        <v>107150.86</v>
      </c>
      <c r="F336" s="9" t="s">
        <v>94</v>
      </c>
      <c r="G336" s="9" t="s">
        <v>105</v>
      </c>
      <c r="H336" s="9" t="s">
        <v>90</v>
      </c>
    </row>
    <row r="337" spans="1:8" x14ac:dyDescent="0.3">
      <c r="A337" s="11">
        <v>46123</v>
      </c>
      <c r="B337" s="9" t="s">
        <v>1011</v>
      </c>
      <c r="C337" s="9" t="s">
        <v>1012</v>
      </c>
      <c r="D337" s="9" t="s">
        <v>1013</v>
      </c>
      <c r="E337" s="12">
        <v>38655.279999999999</v>
      </c>
      <c r="F337" s="9" t="s">
        <v>88</v>
      </c>
      <c r="G337" s="9" t="s">
        <v>113</v>
      </c>
      <c r="H337" s="9" t="s">
        <v>142</v>
      </c>
    </row>
    <row r="338" spans="1:8" x14ac:dyDescent="0.3">
      <c r="A338" s="11">
        <v>46123</v>
      </c>
      <c r="B338" s="9" t="s">
        <v>1014</v>
      </c>
      <c r="C338" s="9" t="s">
        <v>1015</v>
      </c>
      <c r="D338" s="9" t="s">
        <v>1016</v>
      </c>
      <c r="E338" s="12">
        <v>91687.09</v>
      </c>
      <c r="F338" s="9" t="s">
        <v>88</v>
      </c>
      <c r="G338" s="9" t="s">
        <v>101</v>
      </c>
      <c r="H338" s="9" t="s">
        <v>109</v>
      </c>
    </row>
    <row r="339" spans="1:8" x14ac:dyDescent="0.3">
      <c r="A339" s="11">
        <v>46123</v>
      </c>
      <c r="B339" s="9" t="s">
        <v>1017</v>
      </c>
      <c r="C339" s="9" t="s">
        <v>1018</v>
      </c>
      <c r="D339" s="9" t="s">
        <v>108</v>
      </c>
      <c r="E339" s="12">
        <v>25128.13</v>
      </c>
      <c r="F339" s="9" t="s">
        <v>88</v>
      </c>
      <c r="G339" s="9" t="s">
        <v>89</v>
      </c>
      <c r="H339" s="9" t="s">
        <v>90</v>
      </c>
    </row>
    <row r="340" spans="1:8" x14ac:dyDescent="0.3">
      <c r="A340" s="11">
        <v>46124</v>
      </c>
      <c r="B340" s="9" t="s">
        <v>1019</v>
      </c>
      <c r="C340" s="9" t="s">
        <v>1020</v>
      </c>
      <c r="D340" s="9" t="s">
        <v>108</v>
      </c>
      <c r="E340" s="12">
        <v>31269.59</v>
      </c>
      <c r="F340" s="9" t="s">
        <v>88</v>
      </c>
      <c r="G340" s="9" t="s">
        <v>89</v>
      </c>
      <c r="H340" s="9" t="s">
        <v>90</v>
      </c>
    </row>
    <row r="341" spans="1:8" x14ac:dyDescent="0.3">
      <c r="A341" s="11">
        <v>46124</v>
      </c>
      <c r="B341" s="9" t="s">
        <v>1021</v>
      </c>
      <c r="C341" s="9" t="s">
        <v>1022</v>
      </c>
      <c r="D341" s="9" t="s">
        <v>1023</v>
      </c>
      <c r="E341" s="12">
        <v>20849.98</v>
      </c>
      <c r="F341" s="9" t="s">
        <v>94</v>
      </c>
      <c r="G341" s="9" t="s">
        <v>113</v>
      </c>
      <c r="H341" s="9" t="s">
        <v>109</v>
      </c>
    </row>
    <row r="342" spans="1:8" x14ac:dyDescent="0.3">
      <c r="A342" s="11">
        <v>46124</v>
      </c>
      <c r="B342" s="9" t="s">
        <v>1024</v>
      </c>
      <c r="C342" s="9" t="s">
        <v>1025</v>
      </c>
      <c r="D342" s="9" t="s">
        <v>1026</v>
      </c>
      <c r="E342" s="12">
        <v>135584.70000000001</v>
      </c>
      <c r="F342" s="9" t="s">
        <v>88</v>
      </c>
      <c r="G342" s="9" t="s">
        <v>89</v>
      </c>
      <c r="H342" s="9" t="s">
        <v>90</v>
      </c>
    </row>
    <row r="343" spans="1:8" x14ac:dyDescent="0.3">
      <c r="A343" s="11">
        <v>46124</v>
      </c>
      <c r="B343" s="9" t="s">
        <v>1027</v>
      </c>
      <c r="C343" s="9" t="s">
        <v>1028</v>
      </c>
      <c r="D343" s="9" t="s">
        <v>1029</v>
      </c>
      <c r="E343" s="12">
        <v>131781.79</v>
      </c>
      <c r="F343" s="9" t="s">
        <v>94</v>
      </c>
      <c r="G343" s="9" t="s">
        <v>101</v>
      </c>
      <c r="H343" s="9" t="s">
        <v>90</v>
      </c>
    </row>
    <row r="344" spans="1:8" x14ac:dyDescent="0.3">
      <c r="A344" s="11">
        <v>46124</v>
      </c>
      <c r="B344" s="9" t="s">
        <v>1030</v>
      </c>
      <c r="C344" s="9" t="s">
        <v>1031</v>
      </c>
      <c r="D344" s="9" t="s">
        <v>1032</v>
      </c>
      <c r="E344" s="12">
        <v>2222.02</v>
      </c>
      <c r="F344" s="9" t="s">
        <v>94</v>
      </c>
      <c r="G344" s="9" t="s">
        <v>101</v>
      </c>
      <c r="H344" s="9" t="s">
        <v>109</v>
      </c>
    </row>
    <row r="345" spans="1:8" x14ac:dyDescent="0.3">
      <c r="A345" s="11">
        <v>46125</v>
      </c>
      <c r="B345" s="9" t="s">
        <v>1033</v>
      </c>
      <c r="C345" s="9" t="s">
        <v>1034</v>
      </c>
      <c r="D345" s="9" t="s">
        <v>1035</v>
      </c>
      <c r="E345" s="12">
        <v>22464.47</v>
      </c>
      <c r="F345" s="9" t="s">
        <v>88</v>
      </c>
      <c r="G345" s="9" t="s">
        <v>105</v>
      </c>
      <c r="H345" s="9" t="s">
        <v>90</v>
      </c>
    </row>
    <row r="346" spans="1:8" x14ac:dyDescent="0.3">
      <c r="A346" s="11">
        <v>46125</v>
      </c>
      <c r="B346" s="9" t="s">
        <v>1036</v>
      </c>
      <c r="C346" s="9" t="s">
        <v>1037</v>
      </c>
      <c r="D346" s="9" t="s">
        <v>1038</v>
      </c>
      <c r="E346" s="12">
        <v>192943.16</v>
      </c>
      <c r="F346" s="9" t="s">
        <v>94</v>
      </c>
      <c r="G346" s="9" t="s">
        <v>113</v>
      </c>
      <c r="H346" s="9" t="s">
        <v>109</v>
      </c>
    </row>
    <row r="347" spans="1:8" x14ac:dyDescent="0.3">
      <c r="A347" s="11">
        <v>46125</v>
      </c>
      <c r="B347" s="9" t="s">
        <v>1039</v>
      </c>
      <c r="C347" s="9" t="s">
        <v>1040</v>
      </c>
      <c r="D347" s="9" t="s">
        <v>100</v>
      </c>
      <c r="E347" s="12">
        <v>3101.04</v>
      </c>
      <c r="F347" s="9" t="s">
        <v>88</v>
      </c>
      <c r="G347" s="9" t="s">
        <v>113</v>
      </c>
      <c r="H347" s="9" t="s">
        <v>142</v>
      </c>
    </row>
    <row r="348" spans="1:8" x14ac:dyDescent="0.3">
      <c r="A348" s="11">
        <v>46125</v>
      </c>
      <c r="B348" s="9" t="s">
        <v>1041</v>
      </c>
      <c r="C348" s="9" t="s">
        <v>1042</v>
      </c>
      <c r="D348" s="9" t="s">
        <v>1043</v>
      </c>
      <c r="E348" s="12">
        <v>127852.33</v>
      </c>
      <c r="F348" s="9" t="s">
        <v>88</v>
      </c>
      <c r="G348" s="9" t="s">
        <v>101</v>
      </c>
      <c r="H348" s="9" t="s">
        <v>109</v>
      </c>
    </row>
    <row r="349" spans="1:8" x14ac:dyDescent="0.3">
      <c r="A349" s="11">
        <v>46126</v>
      </c>
      <c r="B349" s="9" t="s">
        <v>1044</v>
      </c>
      <c r="C349" s="9" t="s">
        <v>1045</v>
      </c>
      <c r="D349" s="9" t="s">
        <v>1046</v>
      </c>
      <c r="E349" s="12">
        <v>176690.93</v>
      </c>
      <c r="F349" s="9" t="s">
        <v>94</v>
      </c>
      <c r="G349" s="9" t="s">
        <v>105</v>
      </c>
      <c r="H349" s="9" t="s">
        <v>90</v>
      </c>
    </row>
    <row r="350" spans="1:8" x14ac:dyDescent="0.3">
      <c r="A350" s="11">
        <v>46126</v>
      </c>
      <c r="B350" s="9" t="s">
        <v>1047</v>
      </c>
      <c r="C350" s="9" t="s">
        <v>1048</v>
      </c>
      <c r="D350" s="9" t="s">
        <v>1049</v>
      </c>
      <c r="E350" s="12">
        <v>61240.9</v>
      </c>
      <c r="F350" s="9" t="s">
        <v>88</v>
      </c>
      <c r="G350" s="9" t="s">
        <v>101</v>
      </c>
      <c r="H350" s="9" t="s">
        <v>90</v>
      </c>
    </row>
    <row r="351" spans="1:8" x14ac:dyDescent="0.3">
      <c r="A351" s="11">
        <v>46126</v>
      </c>
      <c r="B351" s="9" t="s">
        <v>1050</v>
      </c>
      <c r="C351" s="9" t="s">
        <v>1051</v>
      </c>
      <c r="D351" s="9" t="s">
        <v>108</v>
      </c>
      <c r="E351" s="12">
        <v>23586.54</v>
      </c>
      <c r="F351" s="9" t="s">
        <v>88</v>
      </c>
      <c r="G351" s="9" t="s">
        <v>101</v>
      </c>
      <c r="H351" s="9" t="s">
        <v>90</v>
      </c>
    </row>
    <row r="352" spans="1:8" x14ac:dyDescent="0.3">
      <c r="A352" s="11">
        <v>46126</v>
      </c>
      <c r="B352" s="9" t="s">
        <v>1052</v>
      </c>
      <c r="C352" s="9" t="s">
        <v>1053</v>
      </c>
      <c r="D352" s="9" t="s">
        <v>1054</v>
      </c>
      <c r="E352" s="12">
        <v>101716.78</v>
      </c>
      <c r="F352" s="9" t="s">
        <v>88</v>
      </c>
      <c r="G352" s="9" t="s">
        <v>89</v>
      </c>
      <c r="H352" s="9" t="s">
        <v>90</v>
      </c>
    </row>
    <row r="353" spans="1:8" x14ac:dyDescent="0.3">
      <c r="A353" s="11">
        <v>46126</v>
      </c>
      <c r="B353" s="9" t="s">
        <v>1055</v>
      </c>
      <c r="C353" s="9" t="s">
        <v>1056</v>
      </c>
      <c r="D353" s="9" t="s">
        <v>1057</v>
      </c>
      <c r="E353" s="12">
        <v>132787.94</v>
      </c>
      <c r="F353" s="9" t="s">
        <v>94</v>
      </c>
      <c r="G353" s="9" t="s">
        <v>113</v>
      </c>
      <c r="H353" s="9" t="s">
        <v>90</v>
      </c>
    </row>
    <row r="354" spans="1:8" x14ac:dyDescent="0.3">
      <c r="A354" s="11">
        <v>46126</v>
      </c>
      <c r="B354" s="9" t="s">
        <v>1058</v>
      </c>
      <c r="C354" s="9" t="s">
        <v>1059</v>
      </c>
      <c r="D354" s="9" t="s">
        <v>1060</v>
      </c>
      <c r="E354" s="12">
        <v>73789.38</v>
      </c>
      <c r="F354" s="9" t="s">
        <v>94</v>
      </c>
      <c r="G354" s="9" t="s">
        <v>89</v>
      </c>
      <c r="H354" s="9" t="s">
        <v>90</v>
      </c>
    </row>
    <row r="355" spans="1:8" x14ac:dyDescent="0.3">
      <c r="A355" s="11">
        <v>46127</v>
      </c>
      <c r="B355" s="9" t="s">
        <v>1061</v>
      </c>
      <c r="C355" s="9" t="s">
        <v>1062</v>
      </c>
      <c r="D355" s="9" t="s">
        <v>191</v>
      </c>
      <c r="E355" s="12">
        <v>22295.57</v>
      </c>
      <c r="F355" s="9" t="s">
        <v>88</v>
      </c>
      <c r="G355" s="9" t="s">
        <v>113</v>
      </c>
      <c r="H355" s="9" t="s">
        <v>109</v>
      </c>
    </row>
    <row r="356" spans="1:8" x14ac:dyDescent="0.3">
      <c r="A356" s="11">
        <v>46127</v>
      </c>
      <c r="B356" s="9" t="s">
        <v>1063</v>
      </c>
      <c r="C356" s="9" t="s">
        <v>1064</v>
      </c>
      <c r="D356" s="9" t="s">
        <v>1065</v>
      </c>
      <c r="E356" s="12">
        <v>47133.77</v>
      </c>
      <c r="F356" s="9" t="s">
        <v>88</v>
      </c>
      <c r="G356" s="9" t="s">
        <v>101</v>
      </c>
      <c r="H356" s="9" t="s">
        <v>90</v>
      </c>
    </row>
    <row r="357" spans="1:8" x14ac:dyDescent="0.3">
      <c r="A357" s="11">
        <v>46128</v>
      </c>
      <c r="B357" s="9" t="s">
        <v>1066</v>
      </c>
      <c r="C357" s="9" t="s">
        <v>1067</v>
      </c>
      <c r="D357" s="9" t="s">
        <v>1068</v>
      </c>
      <c r="E357" s="12">
        <v>140677.4</v>
      </c>
      <c r="F357" s="9" t="s">
        <v>94</v>
      </c>
      <c r="G357" s="9" t="s">
        <v>101</v>
      </c>
      <c r="H357" s="9" t="s">
        <v>142</v>
      </c>
    </row>
    <row r="358" spans="1:8" x14ac:dyDescent="0.3">
      <c r="A358" s="11">
        <v>46128</v>
      </c>
      <c r="B358" s="9" t="s">
        <v>1069</v>
      </c>
      <c r="C358" s="9" t="s">
        <v>1070</v>
      </c>
      <c r="D358" s="9" t="s">
        <v>141</v>
      </c>
      <c r="E358" s="12">
        <v>37210.74</v>
      </c>
      <c r="F358" s="9" t="s">
        <v>88</v>
      </c>
      <c r="G358" s="9" t="s">
        <v>105</v>
      </c>
      <c r="H358" s="9" t="s">
        <v>142</v>
      </c>
    </row>
    <row r="359" spans="1:8" x14ac:dyDescent="0.3">
      <c r="A359" s="11">
        <v>46129</v>
      </c>
      <c r="B359" s="9" t="s">
        <v>1071</v>
      </c>
      <c r="C359" s="9" t="s">
        <v>1072</v>
      </c>
      <c r="D359" s="9" t="s">
        <v>1073</v>
      </c>
      <c r="E359" s="12">
        <v>31957.8</v>
      </c>
      <c r="F359" s="9" t="s">
        <v>94</v>
      </c>
      <c r="G359" s="9" t="s">
        <v>101</v>
      </c>
      <c r="H359" s="9" t="s">
        <v>109</v>
      </c>
    </row>
    <row r="360" spans="1:8" x14ac:dyDescent="0.3">
      <c r="A360" s="11">
        <v>46129</v>
      </c>
      <c r="B360" s="9" t="s">
        <v>1074</v>
      </c>
      <c r="C360" s="9" t="s">
        <v>1075</v>
      </c>
      <c r="D360" s="9" t="s">
        <v>1076</v>
      </c>
      <c r="E360" s="12">
        <v>48087.7</v>
      </c>
      <c r="F360" s="9" t="s">
        <v>94</v>
      </c>
      <c r="G360" s="9" t="s">
        <v>105</v>
      </c>
      <c r="H360" s="9" t="s">
        <v>142</v>
      </c>
    </row>
    <row r="361" spans="1:8" x14ac:dyDescent="0.3">
      <c r="A361" s="11">
        <v>46130</v>
      </c>
      <c r="B361" s="9" t="s">
        <v>1077</v>
      </c>
      <c r="C361" s="9" t="s">
        <v>1078</v>
      </c>
      <c r="D361" s="9" t="s">
        <v>1079</v>
      </c>
      <c r="E361" s="12">
        <v>120222.25</v>
      </c>
      <c r="F361" s="9" t="s">
        <v>94</v>
      </c>
      <c r="G361" s="9" t="s">
        <v>105</v>
      </c>
      <c r="H361" s="9" t="s">
        <v>90</v>
      </c>
    </row>
    <row r="362" spans="1:8" x14ac:dyDescent="0.3">
      <c r="A362" s="11">
        <v>46130</v>
      </c>
      <c r="B362" s="9" t="s">
        <v>1080</v>
      </c>
      <c r="C362" s="9" t="s">
        <v>1081</v>
      </c>
      <c r="D362" s="9" t="s">
        <v>1082</v>
      </c>
      <c r="E362" s="12">
        <v>81441.279999999999</v>
      </c>
      <c r="F362" s="9" t="s">
        <v>88</v>
      </c>
      <c r="G362" s="9" t="s">
        <v>101</v>
      </c>
      <c r="H362" s="9" t="s">
        <v>142</v>
      </c>
    </row>
    <row r="363" spans="1:8" x14ac:dyDescent="0.3">
      <c r="A363" s="11">
        <v>46132</v>
      </c>
      <c r="B363" s="9" t="s">
        <v>1083</v>
      </c>
      <c r="C363" s="9" t="s">
        <v>1084</v>
      </c>
      <c r="D363" s="9" t="s">
        <v>1085</v>
      </c>
      <c r="E363" s="12">
        <v>135276.45000000001</v>
      </c>
      <c r="F363" s="9" t="s">
        <v>88</v>
      </c>
      <c r="G363" s="9" t="s">
        <v>113</v>
      </c>
      <c r="H363" s="9" t="s">
        <v>90</v>
      </c>
    </row>
    <row r="364" spans="1:8" x14ac:dyDescent="0.3">
      <c r="A364" s="11">
        <v>46132</v>
      </c>
      <c r="B364" s="9" t="s">
        <v>1086</v>
      </c>
      <c r="C364" s="9" t="s">
        <v>1087</v>
      </c>
      <c r="D364" s="9" t="s">
        <v>1088</v>
      </c>
      <c r="E364" s="12">
        <v>106221.65</v>
      </c>
      <c r="F364" s="9" t="s">
        <v>88</v>
      </c>
      <c r="G364" s="9" t="s">
        <v>105</v>
      </c>
      <c r="H364" s="9" t="s">
        <v>90</v>
      </c>
    </row>
    <row r="365" spans="1:8" x14ac:dyDescent="0.3">
      <c r="A365" s="11">
        <v>46132</v>
      </c>
      <c r="B365" s="9" t="s">
        <v>1089</v>
      </c>
      <c r="C365" s="9" t="s">
        <v>1090</v>
      </c>
      <c r="D365" s="9" t="s">
        <v>1091</v>
      </c>
      <c r="E365" s="12">
        <v>172550.96</v>
      </c>
      <c r="F365" s="9" t="s">
        <v>94</v>
      </c>
      <c r="G365" s="9" t="s">
        <v>101</v>
      </c>
      <c r="H365" s="9" t="s">
        <v>90</v>
      </c>
    </row>
    <row r="366" spans="1:8" x14ac:dyDescent="0.3">
      <c r="A366" s="11">
        <v>46133</v>
      </c>
      <c r="B366" s="9" t="s">
        <v>1092</v>
      </c>
      <c r="C366" s="9" t="s">
        <v>1093</v>
      </c>
      <c r="D366" s="9" t="s">
        <v>1094</v>
      </c>
      <c r="E366" s="12">
        <v>179573.68</v>
      </c>
      <c r="F366" s="9" t="s">
        <v>94</v>
      </c>
      <c r="G366" s="9" t="s">
        <v>89</v>
      </c>
      <c r="H366" s="9" t="s">
        <v>142</v>
      </c>
    </row>
    <row r="367" spans="1:8" x14ac:dyDescent="0.3">
      <c r="A367" s="11">
        <v>46134</v>
      </c>
      <c r="B367" s="9" t="s">
        <v>1095</v>
      </c>
      <c r="C367" s="9" t="s">
        <v>1096</v>
      </c>
      <c r="D367" s="9" t="s">
        <v>1097</v>
      </c>
      <c r="E367" s="12">
        <v>53831.12</v>
      </c>
      <c r="F367" s="9" t="s">
        <v>88</v>
      </c>
      <c r="G367" s="9" t="s">
        <v>89</v>
      </c>
      <c r="H367" s="9" t="s">
        <v>109</v>
      </c>
    </row>
    <row r="368" spans="1:8" x14ac:dyDescent="0.3">
      <c r="A368" s="11">
        <v>46134</v>
      </c>
      <c r="B368" s="9" t="s">
        <v>1098</v>
      </c>
      <c r="C368" s="9" t="s">
        <v>1099</v>
      </c>
      <c r="D368" s="9" t="s">
        <v>191</v>
      </c>
      <c r="E368" s="12">
        <v>14795.29</v>
      </c>
      <c r="F368" s="9" t="s">
        <v>88</v>
      </c>
      <c r="G368" s="9" t="s">
        <v>89</v>
      </c>
      <c r="H368" s="9" t="s">
        <v>90</v>
      </c>
    </row>
    <row r="369" spans="1:8" x14ac:dyDescent="0.3">
      <c r="A369" s="11">
        <v>46134</v>
      </c>
      <c r="B369" s="9" t="s">
        <v>1100</v>
      </c>
      <c r="C369" s="9" t="s">
        <v>1101</v>
      </c>
      <c r="D369" s="9" t="s">
        <v>1102</v>
      </c>
      <c r="E369" s="12">
        <v>62157.23</v>
      </c>
      <c r="F369" s="9" t="s">
        <v>88</v>
      </c>
      <c r="G369" s="9" t="s">
        <v>101</v>
      </c>
      <c r="H369" s="9" t="s">
        <v>90</v>
      </c>
    </row>
    <row r="370" spans="1:8" x14ac:dyDescent="0.3">
      <c r="A370" s="11">
        <v>46134</v>
      </c>
      <c r="B370" s="9" t="s">
        <v>1103</v>
      </c>
      <c r="C370" s="9" t="s">
        <v>1104</v>
      </c>
      <c r="D370" s="9" t="s">
        <v>1105</v>
      </c>
      <c r="E370" s="12">
        <v>115838.51</v>
      </c>
      <c r="F370" s="9" t="s">
        <v>88</v>
      </c>
      <c r="G370" s="9" t="s">
        <v>89</v>
      </c>
      <c r="H370" s="9" t="s">
        <v>90</v>
      </c>
    </row>
    <row r="371" spans="1:8" x14ac:dyDescent="0.3">
      <c r="A371" s="11">
        <v>46135</v>
      </c>
      <c r="B371" s="9" t="s">
        <v>1106</v>
      </c>
      <c r="C371" s="9" t="s">
        <v>1107</v>
      </c>
      <c r="D371" s="9" t="s">
        <v>100</v>
      </c>
      <c r="E371" s="12">
        <v>14146.6</v>
      </c>
      <c r="F371" s="9" t="s">
        <v>88</v>
      </c>
      <c r="G371" s="9" t="s">
        <v>101</v>
      </c>
      <c r="H371" s="9" t="s">
        <v>90</v>
      </c>
    </row>
    <row r="372" spans="1:8" x14ac:dyDescent="0.3">
      <c r="A372" s="11">
        <v>46135</v>
      </c>
      <c r="B372" s="9" t="s">
        <v>1108</v>
      </c>
      <c r="C372" s="9" t="s">
        <v>1109</v>
      </c>
      <c r="D372" s="9" t="s">
        <v>108</v>
      </c>
      <c r="E372" s="12">
        <v>9798.0400000000009</v>
      </c>
      <c r="F372" s="9" t="s">
        <v>88</v>
      </c>
      <c r="G372" s="9" t="s">
        <v>101</v>
      </c>
      <c r="H372" s="9" t="s">
        <v>90</v>
      </c>
    </row>
    <row r="373" spans="1:8" x14ac:dyDescent="0.3">
      <c r="A373" s="11">
        <v>46136</v>
      </c>
      <c r="B373" s="9" t="s">
        <v>1110</v>
      </c>
      <c r="C373" s="9" t="s">
        <v>1111</v>
      </c>
      <c r="D373" s="9" t="s">
        <v>1112</v>
      </c>
      <c r="E373" s="12">
        <v>195531.98</v>
      </c>
      <c r="F373" s="9" t="s">
        <v>94</v>
      </c>
      <c r="G373" s="9" t="s">
        <v>101</v>
      </c>
      <c r="H373" s="9" t="s">
        <v>109</v>
      </c>
    </row>
    <row r="374" spans="1:8" x14ac:dyDescent="0.3">
      <c r="A374" s="11">
        <v>46136</v>
      </c>
      <c r="B374" s="9" t="s">
        <v>1113</v>
      </c>
      <c r="C374" s="9" t="s">
        <v>1114</v>
      </c>
      <c r="D374" s="9" t="s">
        <v>100</v>
      </c>
      <c r="E374" s="12">
        <v>3704.04</v>
      </c>
      <c r="F374" s="9" t="s">
        <v>88</v>
      </c>
      <c r="G374" s="9" t="s">
        <v>89</v>
      </c>
      <c r="H374" s="9" t="s">
        <v>90</v>
      </c>
    </row>
    <row r="375" spans="1:8" x14ac:dyDescent="0.3">
      <c r="A375" s="11">
        <v>46136</v>
      </c>
      <c r="B375" s="9" t="s">
        <v>1115</v>
      </c>
      <c r="C375" s="9" t="s">
        <v>1116</v>
      </c>
      <c r="D375" s="9" t="s">
        <v>1117</v>
      </c>
      <c r="E375" s="12">
        <v>60177.85</v>
      </c>
      <c r="F375" s="9" t="s">
        <v>88</v>
      </c>
      <c r="G375" s="9" t="s">
        <v>105</v>
      </c>
      <c r="H375" s="9" t="s">
        <v>142</v>
      </c>
    </row>
    <row r="376" spans="1:8" x14ac:dyDescent="0.3">
      <c r="A376" s="11">
        <v>46136</v>
      </c>
      <c r="B376" s="9" t="s">
        <v>1118</v>
      </c>
      <c r="C376" s="9" t="s">
        <v>1119</v>
      </c>
      <c r="D376" s="9" t="s">
        <v>1120</v>
      </c>
      <c r="E376" s="12">
        <v>42051.09</v>
      </c>
      <c r="F376" s="9" t="s">
        <v>88</v>
      </c>
      <c r="G376" s="9" t="s">
        <v>101</v>
      </c>
      <c r="H376" s="9" t="s">
        <v>90</v>
      </c>
    </row>
    <row r="377" spans="1:8" x14ac:dyDescent="0.3">
      <c r="A377" s="11">
        <v>46136</v>
      </c>
      <c r="B377" s="9" t="s">
        <v>1121</v>
      </c>
      <c r="C377" s="9"/>
      <c r="D377" s="9" t="s">
        <v>208</v>
      </c>
      <c r="E377" s="12">
        <v>2007.75</v>
      </c>
      <c r="F377" s="9" t="s">
        <v>88</v>
      </c>
      <c r="G377" s="9" t="s">
        <v>105</v>
      </c>
      <c r="H377" s="9" t="s">
        <v>90</v>
      </c>
    </row>
    <row r="378" spans="1:8" x14ac:dyDescent="0.3">
      <c r="A378" s="11">
        <v>46137</v>
      </c>
      <c r="B378" s="9" t="s">
        <v>1122</v>
      </c>
      <c r="C378" s="9" t="s">
        <v>1123</v>
      </c>
      <c r="D378" s="9" t="s">
        <v>1124</v>
      </c>
      <c r="E378" s="12">
        <v>118372.37</v>
      </c>
      <c r="F378" s="9" t="s">
        <v>88</v>
      </c>
      <c r="G378" s="9" t="s">
        <v>105</v>
      </c>
      <c r="H378" s="9" t="s">
        <v>142</v>
      </c>
    </row>
    <row r="379" spans="1:8" x14ac:dyDescent="0.3">
      <c r="A379" s="11">
        <v>46137</v>
      </c>
      <c r="B379" s="9" t="s">
        <v>1125</v>
      </c>
      <c r="C379" s="9" t="s">
        <v>1126</v>
      </c>
      <c r="D379" s="9" t="s">
        <v>1127</v>
      </c>
      <c r="E379" s="12">
        <v>125412.89</v>
      </c>
      <c r="F379" s="9" t="s">
        <v>94</v>
      </c>
      <c r="G379" s="9" t="s">
        <v>105</v>
      </c>
      <c r="H379" s="9" t="s">
        <v>90</v>
      </c>
    </row>
    <row r="380" spans="1:8" x14ac:dyDescent="0.3">
      <c r="A380" s="11">
        <v>46137</v>
      </c>
      <c r="B380" s="9" t="s">
        <v>1128</v>
      </c>
      <c r="C380" s="9" t="s">
        <v>1129</v>
      </c>
      <c r="D380" s="9" t="s">
        <v>1130</v>
      </c>
      <c r="E380" s="12">
        <v>13013</v>
      </c>
      <c r="F380" s="9" t="s">
        <v>88</v>
      </c>
      <c r="G380" s="9" t="s">
        <v>113</v>
      </c>
      <c r="H380" s="9" t="s">
        <v>90</v>
      </c>
    </row>
    <row r="381" spans="1:8" x14ac:dyDescent="0.3">
      <c r="A381" s="11">
        <v>46138</v>
      </c>
      <c r="B381" s="9" t="s">
        <v>1131</v>
      </c>
      <c r="C381" s="9" t="s">
        <v>1132</v>
      </c>
      <c r="D381" s="9" t="s">
        <v>1133</v>
      </c>
      <c r="E381" s="12">
        <v>10013.51</v>
      </c>
      <c r="F381" s="9" t="s">
        <v>88</v>
      </c>
      <c r="G381" s="9" t="s">
        <v>105</v>
      </c>
      <c r="H381" s="9" t="s">
        <v>90</v>
      </c>
    </row>
    <row r="382" spans="1:8" x14ac:dyDescent="0.3">
      <c r="A382" s="11">
        <v>46138</v>
      </c>
      <c r="B382" s="9" t="s">
        <v>1134</v>
      </c>
      <c r="C382" s="9" t="s">
        <v>1135</v>
      </c>
      <c r="D382" s="9" t="s">
        <v>208</v>
      </c>
      <c r="E382" s="12">
        <v>3880.3</v>
      </c>
      <c r="F382" s="9" t="s">
        <v>88</v>
      </c>
      <c r="G382" s="9" t="s">
        <v>89</v>
      </c>
      <c r="H382" s="9" t="s">
        <v>90</v>
      </c>
    </row>
    <row r="383" spans="1:8" x14ac:dyDescent="0.3">
      <c r="A383" s="11">
        <v>46138</v>
      </c>
      <c r="B383" s="9" t="s">
        <v>1136</v>
      </c>
      <c r="C383" s="9" t="s">
        <v>1137</v>
      </c>
      <c r="D383" s="9" t="s">
        <v>1138</v>
      </c>
      <c r="E383" s="12">
        <v>136640.78</v>
      </c>
      <c r="F383" s="9" t="s">
        <v>94</v>
      </c>
      <c r="G383" s="9" t="s">
        <v>101</v>
      </c>
      <c r="H383" s="9" t="s">
        <v>90</v>
      </c>
    </row>
    <row r="384" spans="1:8" x14ac:dyDescent="0.3">
      <c r="A384" s="11">
        <v>46138</v>
      </c>
      <c r="B384" s="9" t="s">
        <v>1139</v>
      </c>
      <c r="C384" s="9" t="s">
        <v>1140</v>
      </c>
      <c r="D384" s="9" t="s">
        <v>1141</v>
      </c>
      <c r="E384" s="12">
        <v>134611.18</v>
      </c>
      <c r="F384" s="9" t="s">
        <v>94</v>
      </c>
      <c r="G384" s="9" t="s">
        <v>105</v>
      </c>
      <c r="H384" s="9" t="s">
        <v>90</v>
      </c>
    </row>
    <row r="385" spans="1:8" x14ac:dyDescent="0.3">
      <c r="A385" s="11">
        <v>46139</v>
      </c>
      <c r="B385" s="9" t="s">
        <v>1142</v>
      </c>
      <c r="C385" s="9" t="s">
        <v>1143</v>
      </c>
      <c r="D385" s="9" t="s">
        <v>108</v>
      </c>
      <c r="E385" s="12">
        <v>48166.91</v>
      </c>
      <c r="F385" s="9" t="s">
        <v>88</v>
      </c>
      <c r="G385" s="9" t="s">
        <v>105</v>
      </c>
      <c r="H385" s="9" t="s">
        <v>142</v>
      </c>
    </row>
    <row r="386" spans="1:8" x14ac:dyDescent="0.3">
      <c r="A386" s="11">
        <v>46139</v>
      </c>
      <c r="B386" s="9" t="s">
        <v>1144</v>
      </c>
      <c r="C386" s="9" t="s">
        <v>1145</v>
      </c>
      <c r="D386" s="9" t="s">
        <v>1146</v>
      </c>
      <c r="E386" s="12">
        <v>152847.54</v>
      </c>
      <c r="F386" s="9" t="s">
        <v>94</v>
      </c>
      <c r="G386" s="9" t="s">
        <v>101</v>
      </c>
      <c r="H386" s="9" t="s">
        <v>90</v>
      </c>
    </row>
    <row r="387" spans="1:8" x14ac:dyDescent="0.3">
      <c r="A387" s="9" t="s">
        <v>1147</v>
      </c>
      <c r="B387" s="9" t="s">
        <v>1148</v>
      </c>
      <c r="C387" s="9" t="s">
        <v>1149</v>
      </c>
      <c r="D387" s="9" t="s">
        <v>1150</v>
      </c>
      <c r="E387" s="12">
        <v>104862.39999999999</v>
      </c>
      <c r="F387" s="9" t="s">
        <v>94</v>
      </c>
      <c r="G387" s="9" t="s">
        <v>105</v>
      </c>
      <c r="H387" s="9" t="s">
        <v>90</v>
      </c>
    </row>
    <row r="388" spans="1:8" x14ac:dyDescent="0.3">
      <c r="A388" s="11">
        <v>46140</v>
      </c>
      <c r="B388" s="9" t="s">
        <v>1151</v>
      </c>
      <c r="C388" s="9" t="s">
        <v>1152</v>
      </c>
      <c r="D388" s="9" t="s">
        <v>1153</v>
      </c>
      <c r="E388" s="12">
        <v>176842.81</v>
      </c>
      <c r="F388" s="9" t="s">
        <v>94</v>
      </c>
      <c r="G388" s="9" t="s">
        <v>101</v>
      </c>
      <c r="H388" s="9" t="s">
        <v>90</v>
      </c>
    </row>
    <row r="389" spans="1:8" x14ac:dyDescent="0.3">
      <c r="A389" s="11">
        <v>46140</v>
      </c>
      <c r="B389" s="9" t="s">
        <v>1154</v>
      </c>
      <c r="C389" s="9" t="s">
        <v>1155</v>
      </c>
      <c r="D389" s="9" t="s">
        <v>93</v>
      </c>
      <c r="E389" s="12">
        <v>332418.61</v>
      </c>
      <c r="F389" s="9" t="s">
        <v>88</v>
      </c>
      <c r="G389" s="9" t="s">
        <v>105</v>
      </c>
      <c r="H389" s="9" t="s">
        <v>90</v>
      </c>
    </row>
    <row r="390" spans="1:8" x14ac:dyDescent="0.3">
      <c r="A390" s="11">
        <v>46140</v>
      </c>
      <c r="B390" s="9" t="s">
        <v>1156</v>
      </c>
      <c r="C390" s="9" t="s">
        <v>1157</v>
      </c>
      <c r="D390" s="9" t="s">
        <v>1158</v>
      </c>
      <c r="E390" s="12">
        <v>121277.69</v>
      </c>
      <c r="F390" s="9" t="s">
        <v>88</v>
      </c>
      <c r="G390" s="9" t="s">
        <v>105</v>
      </c>
      <c r="H390" s="9" t="s">
        <v>90</v>
      </c>
    </row>
    <row r="391" spans="1:8" x14ac:dyDescent="0.3">
      <c r="A391" s="11">
        <v>46140</v>
      </c>
      <c r="B391" s="9" t="s">
        <v>1159</v>
      </c>
      <c r="C391" s="9" t="s">
        <v>1160</v>
      </c>
      <c r="D391" s="9" t="s">
        <v>108</v>
      </c>
      <c r="E391" s="12">
        <v>33053.160000000003</v>
      </c>
      <c r="F391" s="9" t="s">
        <v>88</v>
      </c>
      <c r="G391" s="9" t="s">
        <v>101</v>
      </c>
      <c r="H391" s="9" t="s">
        <v>90</v>
      </c>
    </row>
    <row r="392" spans="1:8" x14ac:dyDescent="0.3">
      <c r="A392" s="11">
        <v>46140</v>
      </c>
      <c r="B392" s="9" t="s">
        <v>1161</v>
      </c>
      <c r="C392" s="9" t="s">
        <v>1162</v>
      </c>
      <c r="D392" s="9" t="s">
        <v>1163</v>
      </c>
      <c r="E392" s="12">
        <v>69799.75</v>
      </c>
      <c r="F392" s="9" t="s">
        <v>88</v>
      </c>
      <c r="G392" s="9" t="s">
        <v>105</v>
      </c>
      <c r="H392" s="9" t="s">
        <v>90</v>
      </c>
    </row>
    <row r="393" spans="1:8" x14ac:dyDescent="0.3">
      <c r="A393" s="11">
        <v>46141</v>
      </c>
      <c r="B393" s="9" t="s">
        <v>1164</v>
      </c>
      <c r="C393" s="9" t="s">
        <v>1165</v>
      </c>
      <c r="D393" s="9" t="s">
        <v>1166</v>
      </c>
      <c r="E393" s="12">
        <v>68525.539999999994</v>
      </c>
      <c r="F393" s="9" t="s">
        <v>94</v>
      </c>
      <c r="G393" s="9" t="s">
        <v>89</v>
      </c>
      <c r="H393" s="9" t="s">
        <v>90</v>
      </c>
    </row>
    <row r="394" spans="1:8" x14ac:dyDescent="0.3">
      <c r="A394" s="11">
        <v>46141</v>
      </c>
      <c r="B394" s="9" t="s">
        <v>1167</v>
      </c>
      <c r="C394" s="9" t="s">
        <v>1168</v>
      </c>
      <c r="D394" s="9" t="s">
        <v>1169</v>
      </c>
      <c r="E394" s="12">
        <v>148429.23000000001</v>
      </c>
      <c r="F394" s="9" t="s">
        <v>94</v>
      </c>
      <c r="G394" s="9" t="s">
        <v>105</v>
      </c>
      <c r="H394" s="9" t="s">
        <v>142</v>
      </c>
    </row>
    <row r="395" spans="1:8" x14ac:dyDescent="0.3">
      <c r="A395" s="11">
        <v>46141</v>
      </c>
      <c r="B395" s="9" t="s">
        <v>1170</v>
      </c>
      <c r="C395" s="9" t="s">
        <v>1171</v>
      </c>
      <c r="D395" s="9" t="s">
        <v>1172</v>
      </c>
      <c r="E395" s="12">
        <v>140754.54999999999</v>
      </c>
      <c r="F395" s="9" t="s">
        <v>88</v>
      </c>
      <c r="G395" s="9" t="s">
        <v>105</v>
      </c>
      <c r="H395" s="9" t="s">
        <v>90</v>
      </c>
    </row>
    <row r="396" spans="1:8" x14ac:dyDescent="0.3">
      <c r="A396" s="11">
        <v>46142</v>
      </c>
      <c r="B396" s="9" t="s">
        <v>1173</v>
      </c>
      <c r="C396" s="9" t="s">
        <v>1174</v>
      </c>
      <c r="D396" s="9" t="s">
        <v>100</v>
      </c>
      <c r="E396" s="12">
        <v>23916.05</v>
      </c>
      <c r="F396" s="9" t="s">
        <v>88</v>
      </c>
      <c r="G396" s="9" t="s">
        <v>105</v>
      </c>
      <c r="H396" s="9" t="s">
        <v>90</v>
      </c>
    </row>
    <row r="397" spans="1:8" x14ac:dyDescent="0.3">
      <c r="A397" s="11">
        <v>46142</v>
      </c>
      <c r="B397" s="9" t="s">
        <v>1175</v>
      </c>
      <c r="C397" s="9" t="s">
        <v>1176</v>
      </c>
      <c r="D397" s="9" t="s">
        <v>1177</v>
      </c>
      <c r="E397" s="12">
        <v>181546.8</v>
      </c>
      <c r="F397" s="9" t="s">
        <v>94</v>
      </c>
      <c r="G397" s="9" t="s">
        <v>105</v>
      </c>
      <c r="H397" s="9" t="s">
        <v>90</v>
      </c>
    </row>
    <row r="398" spans="1:8" x14ac:dyDescent="0.3">
      <c r="A398" s="11">
        <v>46142</v>
      </c>
      <c r="B398" s="9" t="s">
        <v>1178</v>
      </c>
      <c r="C398" s="9" t="s">
        <v>1179</v>
      </c>
      <c r="D398" s="9" t="s">
        <v>1180</v>
      </c>
      <c r="E398" s="12">
        <v>88641.48</v>
      </c>
      <c r="F398" s="9" t="s">
        <v>88</v>
      </c>
      <c r="G398" s="9" t="s">
        <v>89</v>
      </c>
      <c r="H398" s="9" t="s">
        <v>90</v>
      </c>
    </row>
    <row r="399" spans="1:8" x14ac:dyDescent="0.3">
      <c r="A399" s="11">
        <v>46142</v>
      </c>
      <c r="B399" s="9" t="s">
        <v>1181</v>
      </c>
      <c r="C399" s="9" t="s">
        <v>1182</v>
      </c>
      <c r="D399" s="9" t="s">
        <v>1183</v>
      </c>
      <c r="E399" s="12">
        <v>15205.66</v>
      </c>
      <c r="F399" s="9" t="s">
        <v>94</v>
      </c>
      <c r="G399" s="9" t="s">
        <v>105</v>
      </c>
      <c r="H399" s="9" t="s">
        <v>90</v>
      </c>
    </row>
    <row r="400" spans="1:8" x14ac:dyDescent="0.3">
      <c r="A400" s="11">
        <v>46142</v>
      </c>
      <c r="B400" s="9" t="s">
        <v>1184</v>
      </c>
      <c r="C400" s="9" t="s">
        <v>1185</v>
      </c>
      <c r="D400" s="9" t="s">
        <v>1186</v>
      </c>
      <c r="E400" s="12">
        <v>43441.97</v>
      </c>
      <c r="F400" s="9" t="s">
        <v>88</v>
      </c>
      <c r="G400" s="9" t="s">
        <v>89</v>
      </c>
      <c r="H400" s="9" t="s">
        <v>90</v>
      </c>
    </row>
    <row r="401" spans="1:8" x14ac:dyDescent="0.3">
      <c r="A401" s="11">
        <v>46142</v>
      </c>
      <c r="B401" s="9" t="s">
        <v>1187</v>
      </c>
      <c r="C401" s="9" t="s">
        <v>1188</v>
      </c>
      <c r="D401" s="9" t="s">
        <v>1189</v>
      </c>
      <c r="E401" s="12">
        <v>81493.08</v>
      </c>
      <c r="F401" s="9" t="s">
        <v>88</v>
      </c>
      <c r="G401" s="9" t="s">
        <v>113</v>
      </c>
      <c r="H401" s="9" t="s">
        <v>90</v>
      </c>
    </row>
    <row r="402" spans="1:8" x14ac:dyDescent="0.3">
      <c r="A402" s="11">
        <v>46036</v>
      </c>
      <c r="B402" s="9" t="s">
        <v>1190</v>
      </c>
      <c r="C402" s="9" t="s">
        <v>238</v>
      </c>
      <c r="D402" s="9" t="s">
        <v>239</v>
      </c>
      <c r="E402" s="12">
        <v>169900.34</v>
      </c>
      <c r="F402" s="9" t="s">
        <v>94</v>
      </c>
      <c r="G402" s="9" t="s">
        <v>105</v>
      </c>
      <c r="H402" s="9" t="s">
        <v>109</v>
      </c>
    </row>
    <row r="403" spans="1:8" x14ac:dyDescent="0.3">
      <c r="A403" s="11">
        <v>46061</v>
      </c>
      <c r="B403" s="9" t="s">
        <v>1191</v>
      </c>
      <c r="C403" s="9" t="s">
        <v>430</v>
      </c>
      <c r="D403" s="9" t="s">
        <v>431</v>
      </c>
      <c r="E403" s="12">
        <v>15916.97</v>
      </c>
      <c r="F403" s="9" t="s">
        <v>94</v>
      </c>
      <c r="G403" s="9" t="s">
        <v>113</v>
      </c>
      <c r="H403" s="9" t="s">
        <v>90</v>
      </c>
    </row>
    <row r="404" spans="1:8" x14ac:dyDescent="0.3">
      <c r="A404" s="11">
        <v>46078</v>
      </c>
      <c r="B404" s="9" t="s">
        <v>1192</v>
      </c>
      <c r="C404" s="9" t="s">
        <v>643</v>
      </c>
      <c r="D404" s="9" t="s">
        <v>644</v>
      </c>
      <c r="E404" s="12">
        <v>118484.75</v>
      </c>
      <c r="F404" s="9" t="s">
        <v>94</v>
      </c>
      <c r="G404" s="9" t="s">
        <v>113</v>
      </c>
      <c r="H404" s="9" t="s">
        <v>90</v>
      </c>
    </row>
    <row r="405" spans="1:8" x14ac:dyDescent="0.3">
      <c r="A405" s="11">
        <v>46103</v>
      </c>
      <c r="B405" s="9" t="s">
        <v>1193</v>
      </c>
      <c r="C405" s="9" t="s">
        <v>864</v>
      </c>
      <c r="D405" s="9" t="s">
        <v>100</v>
      </c>
      <c r="E405" s="12">
        <v>32501.08</v>
      </c>
      <c r="F405" s="9" t="s">
        <v>88</v>
      </c>
      <c r="G405" s="9" t="s">
        <v>105</v>
      </c>
      <c r="H405" s="9" t="s">
        <v>90</v>
      </c>
    </row>
    <row r="406" spans="1:8" x14ac:dyDescent="0.3">
      <c r="A406" s="11">
        <v>46126</v>
      </c>
      <c r="B406" s="9" t="s">
        <v>1194</v>
      </c>
      <c r="C406" s="9" t="s">
        <v>1053</v>
      </c>
      <c r="D406" s="9" t="s">
        <v>1054</v>
      </c>
      <c r="E406" s="12">
        <v>101716.78</v>
      </c>
      <c r="F406" s="9" t="s">
        <v>88</v>
      </c>
      <c r="G406" s="9" t="s">
        <v>89</v>
      </c>
      <c r="H406" s="9" t="s">
        <v>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E1DB6-3BBA-4AFD-9401-70AFD36DC719}">
  <dimension ref="A1:G403"/>
  <sheetViews>
    <sheetView workbookViewId="0"/>
  </sheetViews>
  <sheetFormatPr defaultRowHeight="14.4" x14ac:dyDescent="0.3"/>
  <cols>
    <col min="1" max="1" width="11.109375" bestFit="1" customWidth="1"/>
    <col min="2" max="2" width="11.6640625" bestFit="1" customWidth="1"/>
    <col min="3" max="3" width="15.21875" bestFit="1" customWidth="1"/>
    <col min="4" max="4" width="38.5546875" bestFit="1" customWidth="1"/>
    <col min="5" max="5" width="10" bestFit="1" customWidth="1"/>
    <col min="6" max="6" width="12.44140625" bestFit="1" customWidth="1"/>
    <col min="7" max="7" width="16.5546875" bestFit="1" customWidth="1"/>
  </cols>
  <sheetData>
    <row r="1" spans="1:7" x14ac:dyDescent="0.3">
      <c r="A1" s="7" t="s">
        <v>1195</v>
      </c>
      <c r="B1" s="7" t="s">
        <v>1196</v>
      </c>
      <c r="C1" s="7" t="s">
        <v>1197</v>
      </c>
      <c r="D1" s="7" t="s">
        <v>80</v>
      </c>
      <c r="E1" s="7" t="s">
        <v>81</v>
      </c>
      <c r="F1" s="7" t="s">
        <v>1198</v>
      </c>
      <c r="G1" s="7" t="s">
        <v>1199</v>
      </c>
    </row>
    <row r="2" spans="1:7" x14ac:dyDescent="0.3">
      <c r="A2" s="8">
        <v>46023</v>
      </c>
      <c r="B2" t="s">
        <v>1200</v>
      </c>
      <c r="C2" t="s">
        <v>1201</v>
      </c>
      <c r="D2" t="s">
        <v>1202</v>
      </c>
      <c r="E2" s="13">
        <v>113145.7</v>
      </c>
      <c r="F2">
        <v>1100</v>
      </c>
      <c r="G2" t="s">
        <v>1203</v>
      </c>
    </row>
    <row r="3" spans="1:7" x14ac:dyDescent="0.3">
      <c r="A3" s="8">
        <v>46023</v>
      </c>
      <c r="B3" t="s">
        <v>1204</v>
      </c>
      <c r="C3" t="s">
        <v>1201</v>
      </c>
      <c r="D3" t="s">
        <v>1205</v>
      </c>
      <c r="E3" s="13">
        <v>76989.13</v>
      </c>
      <c r="F3">
        <v>2000</v>
      </c>
      <c r="G3" t="s">
        <v>1206</v>
      </c>
    </row>
    <row r="4" spans="1:7" x14ac:dyDescent="0.3">
      <c r="A4" s="8">
        <v>46023</v>
      </c>
      <c r="B4" t="s">
        <v>1207</v>
      </c>
      <c r="C4" t="s">
        <v>1208</v>
      </c>
      <c r="D4" t="s">
        <v>1209</v>
      </c>
      <c r="E4" s="13">
        <v>50106.1</v>
      </c>
      <c r="F4">
        <v>6100</v>
      </c>
      <c r="G4" t="s">
        <v>1210</v>
      </c>
    </row>
    <row r="5" spans="1:7" x14ac:dyDescent="0.3">
      <c r="A5" s="8">
        <v>46023</v>
      </c>
      <c r="B5" t="s">
        <v>1211</v>
      </c>
      <c r="C5" t="s">
        <v>1212</v>
      </c>
      <c r="D5" t="s">
        <v>1213</v>
      </c>
      <c r="E5" s="13">
        <v>96559.78</v>
      </c>
      <c r="F5">
        <v>6100</v>
      </c>
      <c r="G5" t="s">
        <v>1214</v>
      </c>
    </row>
    <row r="6" spans="1:7" x14ac:dyDescent="0.3">
      <c r="A6" s="8">
        <v>46023</v>
      </c>
      <c r="B6" t="s">
        <v>1215</v>
      </c>
      <c r="C6" t="s">
        <v>1216</v>
      </c>
      <c r="D6" t="s">
        <v>1217</v>
      </c>
      <c r="E6" s="13">
        <v>36559.97</v>
      </c>
      <c r="F6">
        <v>6800</v>
      </c>
      <c r="G6" t="s">
        <v>1218</v>
      </c>
    </row>
    <row r="7" spans="1:7" x14ac:dyDescent="0.3">
      <c r="A7" s="8">
        <v>46023</v>
      </c>
      <c r="B7" t="s">
        <v>1219</v>
      </c>
      <c r="C7" t="s">
        <v>1220</v>
      </c>
      <c r="D7" t="s">
        <v>1221</v>
      </c>
      <c r="E7" s="13">
        <v>199.28</v>
      </c>
      <c r="F7">
        <v>6700</v>
      </c>
      <c r="G7" t="s">
        <v>1222</v>
      </c>
    </row>
    <row r="8" spans="1:7" x14ac:dyDescent="0.3">
      <c r="A8" s="8">
        <v>46024</v>
      </c>
      <c r="B8" t="s">
        <v>1223</v>
      </c>
      <c r="C8" t="s">
        <v>1220</v>
      </c>
      <c r="D8" t="s">
        <v>1224</v>
      </c>
      <c r="E8" s="13">
        <v>18466.82</v>
      </c>
      <c r="F8">
        <v>6000</v>
      </c>
      <c r="G8" t="s">
        <v>1225</v>
      </c>
    </row>
    <row r="9" spans="1:7" x14ac:dyDescent="0.3">
      <c r="A9" s="8">
        <v>46024</v>
      </c>
      <c r="B9" t="s">
        <v>1226</v>
      </c>
      <c r="C9" t="s">
        <v>1227</v>
      </c>
      <c r="D9" t="s">
        <v>1228</v>
      </c>
      <c r="E9" s="13">
        <v>36272.050000000003</v>
      </c>
      <c r="F9">
        <v>1100</v>
      </c>
      <c r="G9" t="s">
        <v>1229</v>
      </c>
    </row>
    <row r="10" spans="1:7" x14ac:dyDescent="0.3">
      <c r="A10" s="8">
        <v>46024</v>
      </c>
      <c r="B10" t="s">
        <v>1230</v>
      </c>
      <c r="C10" t="s">
        <v>1216</v>
      </c>
      <c r="D10" t="s">
        <v>1231</v>
      </c>
      <c r="E10" s="13">
        <v>6854.76</v>
      </c>
      <c r="F10">
        <v>2000</v>
      </c>
      <c r="G10" t="s">
        <v>1232</v>
      </c>
    </row>
    <row r="11" spans="1:7" x14ac:dyDescent="0.3">
      <c r="A11" s="8">
        <v>46024</v>
      </c>
      <c r="B11" t="s">
        <v>1233</v>
      </c>
      <c r="C11" t="s">
        <v>1234</v>
      </c>
      <c r="D11" t="s">
        <v>1235</v>
      </c>
      <c r="E11" s="13">
        <v>32609.18</v>
      </c>
      <c r="F11">
        <v>6800</v>
      </c>
      <c r="G11" t="s">
        <v>1236</v>
      </c>
    </row>
    <row r="12" spans="1:7" x14ac:dyDescent="0.3">
      <c r="A12" s="8">
        <v>46025</v>
      </c>
      <c r="B12" t="s">
        <v>1237</v>
      </c>
      <c r="C12" t="s">
        <v>1238</v>
      </c>
      <c r="D12" t="s">
        <v>1239</v>
      </c>
      <c r="E12" s="13">
        <v>2550</v>
      </c>
      <c r="F12">
        <v>2000</v>
      </c>
      <c r="G12" t="s">
        <v>1240</v>
      </c>
    </row>
    <row r="13" spans="1:7" x14ac:dyDescent="0.3">
      <c r="A13" s="8">
        <v>46025</v>
      </c>
      <c r="B13" t="s">
        <v>1241</v>
      </c>
      <c r="C13" t="s">
        <v>1227</v>
      </c>
      <c r="D13" t="s">
        <v>1242</v>
      </c>
      <c r="E13" s="13">
        <v>87798.75</v>
      </c>
      <c r="F13">
        <v>1100</v>
      </c>
      <c r="G13" t="s">
        <v>1243</v>
      </c>
    </row>
    <row r="14" spans="1:7" x14ac:dyDescent="0.3">
      <c r="A14" s="8">
        <v>46026</v>
      </c>
      <c r="B14" t="s">
        <v>1244</v>
      </c>
      <c r="C14" t="s">
        <v>1234</v>
      </c>
      <c r="D14" t="s">
        <v>1245</v>
      </c>
      <c r="E14" s="13">
        <v>30530.83</v>
      </c>
      <c r="F14">
        <v>6100</v>
      </c>
      <c r="G14" t="s">
        <v>1246</v>
      </c>
    </row>
    <row r="15" spans="1:7" x14ac:dyDescent="0.3">
      <c r="A15" s="8">
        <v>46027</v>
      </c>
      <c r="B15" t="s">
        <v>1247</v>
      </c>
      <c r="C15" t="s">
        <v>1212</v>
      </c>
      <c r="D15" t="s">
        <v>1248</v>
      </c>
      <c r="E15" s="13">
        <v>130627.48</v>
      </c>
      <c r="F15">
        <v>2000</v>
      </c>
      <c r="G15" t="s">
        <v>1249</v>
      </c>
    </row>
    <row r="16" spans="1:7" x14ac:dyDescent="0.3">
      <c r="A16" s="8">
        <v>46027</v>
      </c>
      <c r="B16" t="s">
        <v>1250</v>
      </c>
      <c r="C16" t="s">
        <v>1251</v>
      </c>
      <c r="D16" t="s">
        <v>1252</v>
      </c>
      <c r="E16" s="13">
        <v>174077.88</v>
      </c>
      <c r="F16">
        <v>1100</v>
      </c>
      <c r="G16" t="s">
        <v>1253</v>
      </c>
    </row>
    <row r="17" spans="1:7" x14ac:dyDescent="0.3">
      <c r="A17" s="8">
        <v>46028</v>
      </c>
      <c r="B17" t="s">
        <v>1254</v>
      </c>
      <c r="C17" t="s">
        <v>1220</v>
      </c>
      <c r="D17" t="s">
        <v>1255</v>
      </c>
      <c r="E17" s="13">
        <v>1679.28</v>
      </c>
      <c r="F17">
        <v>6400</v>
      </c>
      <c r="G17" t="s">
        <v>1256</v>
      </c>
    </row>
    <row r="18" spans="1:7" x14ac:dyDescent="0.3">
      <c r="A18" s="8">
        <v>46028</v>
      </c>
      <c r="B18" t="s">
        <v>1257</v>
      </c>
      <c r="C18" t="s">
        <v>1212</v>
      </c>
      <c r="D18" t="s">
        <v>1258</v>
      </c>
      <c r="E18" s="13">
        <v>37240.71</v>
      </c>
      <c r="F18">
        <v>6200</v>
      </c>
      <c r="G18" t="s">
        <v>1259</v>
      </c>
    </row>
    <row r="19" spans="1:7" x14ac:dyDescent="0.3">
      <c r="A19" s="8">
        <v>46029</v>
      </c>
      <c r="B19" t="s">
        <v>1260</v>
      </c>
      <c r="C19" t="s">
        <v>1220</v>
      </c>
      <c r="D19" t="s">
        <v>1261</v>
      </c>
      <c r="E19" s="13">
        <v>121156.39</v>
      </c>
      <c r="F19">
        <v>1100</v>
      </c>
      <c r="G19" t="s">
        <v>1262</v>
      </c>
    </row>
    <row r="20" spans="1:7" x14ac:dyDescent="0.3">
      <c r="A20" s="8">
        <v>46029</v>
      </c>
      <c r="B20" t="s">
        <v>1263</v>
      </c>
      <c r="C20" t="s">
        <v>1201</v>
      </c>
      <c r="D20" t="s">
        <v>1264</v>
      </c>
      <c r="E20" s="13">
        <v>87565.54</v>
      </c>
      <c r="F20">
        <v>2000</v>
      </c>
      <c r="G20" t="s">
        <v>1265</v>
      </c>
    </row>
    <row r="21" spans="1:7" x14ac:dyDescent="0.3">
      <c r="A21" s="8">
        <v>46029</v>
      </c>
      <c r="B21" t="s">
        <v>1266</v>
      </c>
      <c r="C21" t="s">
        <v>1216</v>
      </c>
      <c r="D21" t="s">
        <v>1267</v>
      </c>
      <c r="E21" s="13">
        <v>14481.51</v>
      </c>
      <c r="F21">
        <v>1100</v>
      </c>
      <c r="G21" t="s">
        <v>1268</v>
      </c>
    </row>
    <row r="22" spans="1:7" x14ac:dyDescent="0.3">
      <c r="A22" s="8">
        <v>46029</v>
      </c>
      <c r="B22" t="s">
        <v>1269</v>
      </c>
      <c r="C22" t="s">
        <v>1234</v>
      </c>
      <c r="D22" t="s">
        <v>1270</v>
      </c>
      <c r="E22" s="13">
        <v>142344.84</v>
      </c>
      <c r="F22">
        <v>2000</v>
      </c>
    </row>
    <row r="23" spans="1:7" x14ac:dyDescent="0.3">
      <c r="A23" s="8">
        <v>46029</v>
      </c>
      <c r="B23" t="s">
        <v>1271</v>
      </c>
      <c r="C23" t="s">
        <v>1201</v>
      </c>
      <c r="D23" t="s">
        <v>1272</v>
      </c>
      <c r="E23" s="13">
        <v>193327.8</v>
      </c>
      <c r="F23">
        <v>1100</v>
      </c>
      <c r="G23" t="s">
        <v>1273</v>
      </c>
    </row>
    <row r="24" spans="1:7" x14ac:dyDescent="0.3">
      <c r="A24" s="8">
        <v>46029</v>
      </c>
      <c r="B24" t="s">
        <v>1274</v>
      </c>
      <c r="C24" t="s">
        <v>1234</v>
      </c>
      <c r="D24" t="s">
        <v>1235</v>
      </c>
      <c r="E24" s="13">
        <v>13380.24</v>
      </c>
      <c r="F24">
        <v>6800</v>
      </c>
      <c r="G24" t="s">
        <v>1275</v>
      </c>
    </row>
    <row r="25" spans="1:7" x14ac:dyDescent="0.3">
      <c r="A25" s="8">
        <v>46030</v>
      </c>
      <c r="B25" t="s">
        <v>1276</v>
      </c>
      <c r="C25" t="s">
        <v>1216</v>
      </c>
      <c r="D25" t="s">
        <v>1217</v>
      </c>
      <c r="E25" s="13">
        <v>34921.300000000003</v>
      </c>
      <c r="F25">
        <v>6300</v>
      </c>
      <c r="G25" t="s">
        <v>1277</v>
      </c>
    </row>
    <row r="26" spans="1:7" x14ac:dyDescent="0.3">
      <c r="A26" s="8">
        <v>46030</v>
      </c>
      <c r="B26" t="s">
        <v>1278</v>
      </c>
      <c r="C26" t="s">
        <v>1227</v>
      </c>
      <c r="D26" t="s">
        <v>1279</v>
      </c>
      <c r="E26" s="13">
        <v>33718.44</v>
      </c>
      <c r="F26">
        <v>6000</v>
      </c>
      <c r="G26" t="s">
        <v>1280</v>
      </c>
    </row>
    <row r="27" spans="1:7" x14ac:dyDescent="0.3">
      <c r="A27" s="8">
        <v>46030</v>
      </c>
      <c r="B27" t="s">
        <v>1281</v>
      </c>
      <c r="C27" t="s">
        <v>1208</v>
      </c>
      <c r="D27" t="s">
        <v>1282</v>
      </c>
      <c r="E27" s="13">
        <v>31568.57</v>
      </c>
      <c r="F27">
        <v>6700</v>
      </c>
      <c r="G27" t="s">
        <v>1283</v>
      </c>
    </row>
    <row r="28" spans="1:7" x14ac:dyDescent="0.3">
      <c r="A28" s="8">
        <v>46030</v>
      </c>
      <c r="B28" t="s">
        <v>1284</v>
      </c>
      <c r="C28" t="s">
        <v>1212</v>
      </c>
      <c r="D28" t="s">
        <v>1285</v>
      </c>
      <c r="E28" s="13">
        <v>49035.48</v>
      </c>
      <c r="F28">
        <v>1100</v>
      </c>
      <c r="G28" t="s">
        <v>1286</v>
      </c>
    </row>
    <row r="29" spans="1:7" x14ac:dyDescent="0.3">
      <c r="A29" s="8">
        <v>46031</v>
      </c>
      <c r="B29" t="s">
        <v>1287</v>
      </c>
      <c r="C29" t="s">
        <v>1288</v>
      </c>
      <c r="D29" t="s">
        <v>1289</v>
      </c>
      <c r="E29" s="13">
        <v>161676.04999999999</v>
      </c>
      <c r="F29">
        <v>1100</v>
      </c>
      <c r="G29" t="s">
        <v>1290</v>
      </c>
    </row>
    <row r="30" spans="1:7" x14ac:dyDescent="0.3">
      <c r="A30" s="8">
        <v>46031</v>
      </c>
      <c r="B30" t="s">
        <v>1291</v>
      </c>
      <c r="C30" t="s">
        <v>1220</v>
      </c>
      <c r="D30" t="s">
        <v>1292</v>
      </c>
      <c r="E30" s="13">
        <v>3193.49</v>
      </c>
      <c r="F30">
        <v>6000</v>
      </c>
      <c r="G30" t="s">
        <v>1293</v>
      </c>
    </row>
    <row r="31" spans="1:7" x14ac:dyDescent="0.3">
      <c r="A31" s="8">
        <v>46031</v>
      </c>
      <c r="B31" t="s">
        <v>1294</v>
      </c>
      <c r="C31" t="s">
        <v>1208</v>
      </c>
      <c r="D31" t="s">
        <v>1295</v>
      </c>
      <c r="E31" s="13">
        <v>9077.09</v>
      </c>
      <c r="F31">
        <v>6700</v>
      </c>
      <c r="G31" t="s">
        <v>1296</v>
      </c>
    </row>
    <row r="32" spans="1:7" x14ac:dyDescent="0.3">
      <c r="A32" s="8">
        <v>46032</v>
      </c>
      <c r="B32" t="s">
        <v>1297</v>
      </c>
      <c r="C32" t="s">
        <v>1227</v>
      </c>
      <c r="D32" t="s">
        <v>1298</v>
      </c>
      <c r="E32" s="13">
        <v>61220.95</v>
      </c>
      <c r="F32">
        <v>2000</v>
      </c>
      <c r="G32" t="s">
        <v>1299</v>
      </c>
    </row>
    <row r="33" spans="1:7" x14ac:dyDescent="0.3">
      <c r="A33" s="8">
        <v>46032</v>
      </c>
      <c r="B33" t="s">
        <v>1300</v>
      </c>
      <c r="C33" t="s">
        <v>1234</v>
      </c>
      <c r="D33" t="s">
        <v>1245</v>
      </c>
      <c r="E33" s="13">
        <v>24086.43</v>
      </c>
      <c r="F33">
        <v>6100</v>
      </c>
      <c r="G33" t="s">
        <v>1301</v>
      </c>
    </row>
    <row r="34" spans="1:7" x14ac:dyDescent="0.3">
      <c r="A34" s="8">
        <v>46032</v>
      </c>
      <c r="B34" t="s">
        <v>1302</v>
      </c>
      <c r="C34" t="s">
        <v>1220</v>
      </c>
      <c r="D34" t="s">
        <v>1303</v>
      </c>
      <c r="E34" s="13">
        <v>161568.68</v>
      </c>
      <c r="F34">
        <v>1100</v>
      </c>
      <c r="G34" t="s">
        <v>1304</v>
      </c>
    </row>
    <row r="35" spans="1:7" x14ac:dyDescent="0.3">
      <c r="A35" s="8">
        <v>46033</v>
      </c>
      <c r="B35" t="s">
        <v>1305</v>
      </c>
      <c r="C35" t="s">
        <v>1216</v>
      </c>
      <c r="D35" t="s">
        <v>1306</v>
      </c>
      <c r="E35" s="13">
        <v>-3480.68</v>
      </c>
      <c r="F35">
        <v>5000</v>
      </c>
      <c r="G35" t="s">
        <v>1307</v>
      </c>
    </row>
    <row r="36" spans="1:7" x14ac:dyDescent="0.3">
      <c r="A36" s="8">
        <v>46033</v>
      </c>
      <c r="B36" t="s">
        <v>1308</v>
      </c>
      <c r="C36" t="s">
        <v>1220</v>
      </c>
      <c r="D36" t="s">
        <v>1309</v>
      </c>
      <c r="E36" s="13">
        <v>58272.02</v>
      </c>
      <c r="F36">
        <v>2000</v>
      </c>
      <c r="G36" t="s">
        <v>1310</v>
      </c>
    </row>
    <row r="37" spans="1:7" x14ac:dyDescent="0.3">
      <c r="A37" s="8">
        <v>46033</v>
      </c>
      <c r="B37" t="s">
        <v>1311</v>
      </c>
      <c r="C37" t="s">
        <v>1227</v>
      </c>
      <c r="D37" t="s">
        <v>1312</v>
      </c>
      <c r="E37" s="13">
        <v>36696.720000000001</v>
      </c>
      <c r="F37">
        <v>9999</v>
      </c>
      <c r="G37" t="s">
        <v>1313</v>
      </c>
    </row>
    <row r="38" spans="1:7" x14ac:dyDescent="0.3">
      <c r="A38" s="8">
        <v>46033</v>
      </c>
      <c r="B38" t="s">
        <v>1314</v>
      </c>
      <c r="C38" t="s">
        <v>1288</v>
      </c>
      <c r="D38" t="s">
        <v>1315</v>
      </c>
      <c r="E38" s="13">
        <v>10247.719999999999</v>
      </c>
      <c r="F38">
        <v>6200</v>
      </c>
      <c r="G38" t="s">
        <v>1316</v>
      </c>
    </row>
    <row r="39" spans="1:7" x14ac:dyDescent="0.3">
      <c r="A39" s="8">
        <v>46034</v>
      </c>
      <c r="B39" t="s">
        <v>1317</v>
      </c>
      <c r="C39" t="s">
        <v>1238</v>
      </c>
      <c r="D39" t="s">
        <v>1318</v>
      </c>
      <c r="E39" s="13">
        <v>78790.67</v>
      </c>
      <c r="F39">
        <v>6100</v>
      </c>
      <c r="G39" t="s">
        <v>1319</v>
      </c>
    </row>
    <row r="40" spans="1:7" x14ac:dyDescent="0.3">
      <c r="A40" s="8">
        <v>46034</v>
      </c>
      <c r="B40" t="s">
        <v>1320</v>
      </c>
      <c r="C40" t="s">
        <v>1251</v>
      </c>
      <c r="D40" t="s">
        <v>1321</v>
      </c>
      <c r="E40" s="13">
        <v>9764.09</v>
      </c>
      <c r="F40">
        <v>6800</v>
      </c>
      <c r="G40" t="s">
        <v>1322</v>
      </c>
    </row>
    <row r="41" spans="1:7" x14ac:dyDescent="0.3">
      <c r="A41" s="8">
        <v>46034</v>
      </c>
      <c r="B41" t="s">
        <v>1323</v>
      </c>
      <c r="C41" t="s">
        <v>1227</v>
      </c>
      <c r="D41" t="s">
        <v>1324</v>
      </c>
      <c r="E41" s="13">
        <v>11013.18</v>
      </c>
      <c r="F41">
        <v>1100</v>
      </c>
      <c r="G41" t="s">
        <v>1325</v>
      </c>
    </row>
    <row r="42" spans="1:7" x14ac:dyDescent="0.3">
      <c r="A42" s="8">
        <v>46034</v>
      </c>
      <c r="B42" t="s">
        <v>1326</v>
      </c>
      <c r="C42" t="s">
        <v>1288</v>
      </c>
      <c r="D42" t="s">
        <v>1327</v>
      </c>
      <c r="E42" s="13">
        <v>-3858.14</v>
      </c>
      <c r="F42">
        <v>6800</v>
      </c>
      <c r="G42" t="s">
        <v>1328</v>
      </c>
    </row>
    <row r="43" spans="1:7" x14ac:dyDescent="0.3">
      <c r="A43" s="8">
        <v>46034</v>
      </c>
      <c r="B43" t="s">
        <v>1329</v>
      </c>
      <c r="C43" t="s">
        <v>1288</v>
      </c>
      <c r="D43" t="s">
        <v>1330</v>
      </c>
      <c r="E43" s="13">
        <v>81306.22</v>
      </c>
      <c r="F43">
        <v>1100</v>
      </c>
      <c r="G43" t="s">
        <v>1331</v>
      </c>
    </row>
    <row r="44" spans="1:7" x14ac:dyDescent="0.3">
      <c r="A44" s="8">
        <v>46035</v>
      </c>
      <c r="B44" t="s">
        <v>1332</v>
      </c>
      <c r="C44" t="s">
        <v>1216</v>
      </c>
      <c r="D44" t="s">
        <v>1217</v>
      </c>
      <c r="E44" s="13">
        <v>40336.9</v>
      </c>
      <c r="F44">
        <v>6400</v>
      </c>
      <c r="G44" t="s">
        <v>1333</v>
      </c>
    </row>
    <row r="45" spans="1:7" x14ac:dyDescent="0.3">
      <c r="A45" s="8">
        <v>46035</v>
      </c>
      <c r="B45" t="s">
        <v>1334</v>
      </c>
      <c r="C45" t="s">
        <v>1251</v>
      </c>
      <c r="D45" t="s">
        <v>1335</v>
      </c>
      <c r="E45" s="13">
        <v>49018.22</v>
      </c>
      <c r="F45">
        <v>6000</v>
      </c>
      <c r="G45" t="s">
        <v>1336</v>
      </c>
    </row>
    <row r="46" spans="1:7" x14ac:dyDescent="0.3">
      <c r="A46" s="8">
        <v>46035</v>
      </c>
      <c r="B46" t="s">
        <v>1337</v>
      </c>
      <c r="C46" t="s">
        <v>1208</v>
      </c>
      <c r="D46" t="s">
        <v>1338</v>
      </c>
      <c r="E46" s="13">
        <v>147950.35999999999</v>
      </c>
      <c r="F46">
        <v>1100</v>
      </c>
      <c r="G46" t="s">
        <v>1339</v>
      </c>
    </row>
    <row r="47" spans="1:7" x14ac:dyDescent="0.3">
      <c r="A47" s="8">
        <v>46035</v>
      </c>
      <c r="B47" t="s">
        <v>1340</v>
      </c>
      <c r="C47" t="s">
        <v>1212</v>
      </c>
      <c r="D47" t="s">
        <v>1213</v>
      </c>
      <c r="E47" s="13">
        <v>37832.04</v>
      </c>
      <c r="F47">
        <v>6100</v>
      </c>
      <c r="G47" t="s">
        <v>1341</v>
      </c>
    </row>
    <row r="48" spans="1:7" x14ac:dyDescent="0.3">
      <c r="A48" s="8">
        <v>46036</v>
      </c>
      <c r="B48" t="s">
        <v>1342</v>
      </c>
      <c r="C48" t="s">
        <v>1227</v>
      </c>
      <c r="D48" t="s">
        <v>1343</v>
      </c>
      <c r="E48" s="13">
        <v>93288.62</v>
      </c>
      <c r="F48">
        <v>6100</v>
      </c>
      <c r="G48" t="s">
        <v>1344</v>
      </c>
    </row>
    <row r="49" spans="1:7" x14ac:dyDescent="0.3">
      <c r="A49" s="8">
        <v>46037</v>
      </c>
      <c r="B49" t="s">
        <v>1345</v>
      </c>
      <c r="C49" t="s">
        <v>1208</v>
      </c>
      <c r="D49" t="s">
        <v>1346</v>
      </c>
      <c r="E49" s="13">
        <v>113654.82</v>
      </c>
      <c r="F49">
        <v>2000</v>
      </c>
      <c r="G49" t="s">
        <v>1347</v>
      </c>
    </row>
    <row r="50" spans="1:7" x14ac:dyDescent="0.3">
      <c r="A50" s="8">
        <v>46037</v>
      </c>
      <c r="B50" t="s">
        <v>1348</v>
      </c>
      <c r="C50" t="s">
        <v>1212</v>
      </c>
      <c r="D50" t="s">
        <v>1349</v>
      </c>
      <c r="E50" s="13">
        <v>123676.26</v>
      </c>
      <c r="F50">
        <v>2000</v>
      </c>
      <c r="G50" t="s">
        <v>1350</v>
      </c>
    </row>
    <row r="51" spans="1:7" x14ac:dyDescent="0.3">
      <c r="A51" s="8">
        <v>46037</v>
      </c>
      <c r="B51" t="s">
        <v>1351</v>
      </c>
      <c r="C51" t="s">
        <v>1234</v>
      </c>
      <c r="D51" t="s">
        <v>1352</v>
      </c>
      <c r="E51" s="13">
        <v>147939.62</v>
      </c>
      <c r="F51">
        <v>1100</v>
      </c>
      <c r="G51" t="s">
        <v>1353</v>
      </c>
    </row>
    <row r="52" spans="1:7" x14ac:dyDescent="0.3">
      <c r="A52" s="8">
        <v>46037</v>
      </c>
      <c r="B52" t="s">
        <v>1354</v>
      </c>
      <c r="C52" t="s">
        <v>1234</v>
      </c>
      <c r="D52" t="s">
        <v>1245</v>
      </c>
      <c r="E52" s="13">
        <v>44462.12</v>
      </c>
      <c r="F52">
        <v>6100</v>
      </c>
      <c r="G52" t="s">
        <v>1355</v>
      </c>
    </row>
    <row r="53" spans="1:7" x14ac:dyDescent="0.3">
      <c r="A53" s="8">
        <v>46037</v>
      </c>
      <c r="B53" t="s">
        <v>1356</v>
      </c>
      <c r="C53" t="s">
        <v>1212</v>
      </c>
      <c r="D53" t="s">
        <v>1357</v>
      </c>
      <c r="E53" s="13">
        <v>115293.96</v>
      </c>
      <c r="F53">
        <v>1100</v>
      </c>
      <c r="G53" t="s">
        <v>1358</v>
      </c>
    </row>
    <row r="54" spans="1:7" x14ac:dyDescent="0.3">
      <c r="A54" s="8">
        <v>46038</v>
      </c>
      <c r="B54" t="s">
        <v>1359</v>
      </c>
      <c r="C54" t="s">
        <v>1220</v>
      </c>
      <c r="D54" t="s">
        <v>1360</v>
      </c>
      <c r="E54" s="13">
        <v>18603.189999999999</v>
      </c>
      <c r="F54">
        <v>1100</v>
      </c>
      <c r="G54" t="s">
        <v>1361</v>
      </c>
    </row>
    <row r="55" spans="1:7" x14ac:dyDescent="0.3">
      <c r="A55" s="8">
        <v>46038</v>
      </c>
      <c r="B55" t="s">
        <v>1362</v>
      </c>
      <c r="C55" t="s">
        <v>1212</v>
      </c>
      <c r="D55" t="s">
        <v>1363</v>
      </c>
      <c r="E55" s="13">
        <v>67253.149999999994</v>
      </c>
      <c r="F55">
        <v>2000</v>
      </c>
      <c r="G55" t="s">
        <v>1364</v>
      </c>
    </row>
    <row r="56" spans="1:7" x14ac:dyDescent="0.3">
      <c r="A56" s="8">
        <v>46038</v>
      </c>
      <c r="B56" t="s">
        <v>1365</v>
      </c>
      <c r="C56" t="s">
        <v>1238</v>
      </c>
      <c r="D56" t="s">
        <v>1366</v>
      </c>
      <c r="E56" s="13">
        <v>40068.480000000003</v>
      </c>
      <c r="F56">
        <v>2000</v>
      </c>
      <c r="G56" t="s">
        <v>1367</v>
      </c>
    </row>
    <row r="57" spans="1:7" x14ac:dyDescent="0.3">
      <c r="A57" s="8">
        <v>46038</v>
      </c>
      <c r="B57" t="s">
        <v>1368</v>
      </c>
      <c r="C57" t="s">
        <v>1208</v>
      </c>
      <c r="D57" t="s">
        <v>1369</v>
      </c>
      <c r="E57" s="13">
        <v>14560.26</v>
      </c>
      <c r="F57">
        <v>6300</v>
      </c>
      <c r="G57" t="s">
        <v>1370</v>
      </c>
    </row>
    <row r="58" spans="1:7" x14ac:dyDescent="0.3">
      <c r="A58" s="8">
        <v>46038</v>
      </c>
      <c r="B58" t="s">
        <v>1371</v>
      </c>
      <c r="C58" t="s">
        <v>1220</v>
      </c>
      <c r="D58" t="s">
        <v>1372</v>
      </c>
      <c r="E58" s="13">
        <v>47150.51</v>
      </c>
      <c r="F58">
        <v>1100</v>
      </c>
      <c r="G58" t="s">
        <v>1373</v>
      </c>
    </row>
    <row r="59" spans="1:7" x14ac:dyDescent="0.3">
      <c r="A59" s="8">
        <v>46038</v>
      </c>
      <c r="B59" t="s">
        <v>1374</v>
      </c>
      <c r="C59" t="s">
        <v>1208</v>
      </c>
      <c r="D59" t="s">
        <v>1375</v>
      </c>
      <c r="E59" s="13">
        <v>126143.27</v>
      </c>
      <c r="F59">
        <v>2000</v>
      </c>
      <c r="G59" t="s">
        <v>1376</v>
      </c>
    </row>
    <row r="60" spans="1:7" x14ac:dyDescent="0.3">
      <c r="A60" s="8">
        <v>46039</v>
      </c>
      <c r="B60" t="s">
        <v>1377</v>
      </c>
      <c r="C60" t="s">
        <v>1201</v>
      </c>
      <c r="D60" t="s">
        <v>1378</v>
      </c>
      <c r="E60" s="13">
        <v>76814.649999999994</v>
      </c>
      <c r="F60">
        <v>2000</v>
      </c>
      <c r="G60" t="s">
        <v>1379</v>
      </c>
    </row>
    <row r="61" spans="1:7" x14ac:dyDescent="0.3">
      <c r="A61" s="8">
        <v>46039</v>
      </c>
      <c r="B61" t="s">
        <v>1380</v>
      </c>
      <c r="C61" t="s">
        <v>1288</v>
      </c>
      <c r="D61" t="s">
        <v>1381</v>
      </c>
      <c r="E61" s="13">
        <v>67632.710000000006</v>
      </c>
      <c r="F61">
        <v>6100</v>
      </c>
      <c r="G61" t="s">
        <v>1382</v>
      </c>
    </row>
    <row r="62" spans="1:7" x14ac:dyDescent="0.3">
      <c r="A62" t="s">
        <v>1383</v>
      </c>
      <c r="B62" t="s">
        <v>1384</v>
      </c>
      <c r="C62" t="s">
        <v>1238</v>
      </c>
      <c r="D62" t="s">
        <v>1318</v>
      </c>
      <c r="E62" s="13">
        <v>31681.18</v>
      </c>
      <c r="F62">
        <v>6100</v>
      </c>
      <c r="G62" t="s">
        <v>1385</v>
      </c>
    </row>
    <row r="63" spans="1:7" x14ac:dyDescent="0.3">
      <c r="A63" s="8">
        <v>46039</v>
      </c>
      <c r="B63" t="s">
        <v>1386</v>
      </c>
      <c r="C63" t="s">
        <v>1251</v>
      </c>
      <c r="D63" t="s">
        <v>1387</v>
      </c>
      <c r="E63" s="13">
        <v>12600.46</v>
      </c>
      <c r="F63">
        <v>6200</v>
      </c>
      <c r="G63" t="s">
        <v>1388</v>
      </c>
    </row>
    <row r="64" spans="1:7" x14ac:dyDescent="0.3">
      <c r="A64" s="8">
        <v>46040</v>
      </c>
      <c r="B64" t="s">
        <v>1389</v>
      </c>
      <c r="C64" t="s">
        <v>1216</v>
      </c>
      <c r="D64" t="s">
        <v>1390</v>
      </c>
      <c r="E64" s="13">
        <v>29238.09</v>
      </c>
      <c r="F64">
        <v>6100</v>
      </c>
      <c r="G64" t="s">
        <v>1391</v>
      </c>
    </row>
    <row r="65" spans="1:7" x14ac:dyDescent="0.3">
      <c r="A65" s="8">
        <v>46041</v>
      </c>
      <c r="B65" t="s">
        <v>1392</v>
      </c>
      <c r="C65" t="s">
        <v>1216</v>
      </c>
      <c r="D65" t="s">
        <v>1393</v>
      </c>
      <c r="E65" s="13">
        <v>30807</v>
      </c>
      <c r="F65">
        <v>6200</v>
      </c>
      <c r="G65" t="s">
        <v>1394</v>
      </c>
    </row>
    <row r="66" spans="1:7" x14ac:dyDescent="0.3">
      <c r="A66" s="8">
        <v>46041</v>
      </c>
      <c r="B66" t="s">
        <v>1395</v>
      </c>
      <c r="C66" t="s">
        <v>1212</v>
      </c>
      <c r="D66" t="s">
        <v>1213</v>
      </c>
      <c r="E66" s="13">
        <v>51699.31</v>
      </c>
      <c r="F66">
        <v>6100</v>
      </c>
      <c r="G66" t="s">
        <v>1396</v>
      </c>
    </row>
    <row r="67" spans="1:7" x14ac:dyDescent="0.3">
      <c r="A67" s="8">
        <v>46042</v>
      </c>
      <c r="B67" t="s">
        <v>1397</v>
      </c>
      <c r="C67" t="s">
        <v>1251</v>
      </c>
      <c r="D67" t="s">
        <v>1387</v>
      </c>
      <c r="E67" s="13">
        <v>335.53</v>
      </c>
      <c r="F67">
        <v>6400</v>
      </c>
      <c r="G67" t="s">
        <v>1398</v>
      </c>
    </row>
    <row r="68" spans="1:7" x14ac:dyDescent="0.3">
      <c r="A68" s="8">
        <v>46042</v>
      </c>
      <c r="B68" t="s">
        <v>1399</v>
      </c>
      <c r="C68" t="s">
        <v>1201</v>
      </c>
      <c r="D68" t="s">
        <v>1400</v>
      </c>
      <c r="E68" s="13">
        <v>46236.34</v>
      </c>
      <c r="F68">
        <v>6100</v>
      </c>
      <c r="G68" t="s">
        <v>1401</v>
      </c>
    </row>
    <row r="69" spans="1:7" x14ac:dyDescent="0.3">
      <c r="A69" s="8">
        <v>46042</v>
      </c>
      <c r="B69" t="s">
        <v>1402</v>
      </c>
      <c r="C69" t="s">
        <v>1216</v>
      </c>
      <c r="D69" t="s">
        <v>1403</v>
      </c>
      <c r="E69" s="13">
        <v>118224.82</v>
      </c>
      <c r="F69">
        <v>1100</v>
      </c>
      <c r="G69" t="s">
        <v>1404</v>
      </c>
    </row>
    <row r="70" spans="1:7" x14ac:dyDescent="0.3">
      <c r="A70" s="8">
        <v>46043</v>
      </c>
      <c r="B70" t="s">
        <v>1405</v>
      </c>
      <c r="C70" t="s">
        <v>1238</v>
      </c>
      <c r="D70" t="s">
        <v>1406</v>
      </c>
      <c r="E70" s="13">
        <v>24248.33</v>
      </c>
      <c r="F70">
        <v>1100</v>
      </c>
      <c r="G70" t="s">
        <v>1407</v>
      </c>
    </row>
    <row r="71" spans="1:7" x14ac:dyDescent="0.3">
      <c r="A71" s="8">
        <v>46043</v>
      </c>
      <c r="B71" t="s">
        <v>1408</v>
      </c>
      <c r="C71" t="s">
        <v>1238</v>
      </c>
      <c r="D71" t="s">
        <v>1409</v>
      </c>
      <c r="E71" s="13">
        <v>53542.91</v>
      </c>
      <c r="F71">
        <v>1100</v>
      </c>
      <c r="G71" t="s">
        <v>1410</v>
      </c>
    </row>
    <row r="72" spans="1:7" x14ac:dyDescent="0.3">
      <c r="A72" s="8">
        <v>46043</v>
      </c>
      <c r="B72" t="s">
        <v>1411</v>
      </c>
      <c r="C72" t="s">
        <v>1212</v>
      </c>
      <c r="D72" t="s">
        <v>1412</v>
      </c>
      <c r="E72" s="13">
        <v>67027.97</v>
      </c>
      <c r="F72">
        <v>1100</v>
      </c>
      <c r="G72" t="s">
        <v>1413</v>
      </c>
    </row>
    <row r="73" spans="1:7" x14ac:dyDescent="0.3">
      <c r="A73" s="8">
        <v>46044</v>
      </c>
      <c r="B73" t="s">
        <v>1414</v>
      </c>
      <c r="C73" t="s">
        <v>1238</v>
      </c>
      <c r="D73" t="s">
        <v>1415</v>
      </c>
      <c r="E73" s="13">
        <v>86596.61</v>
      </c>
      <c r="F73">
        <v>2000</v>
      </c>
      <c r="G73" t="s">
        <v>1416</v>
      </c>
    </row>
    <row r="74" spans="1:7" x14ac:dyDescent="0.3">
      <c r="A74" s="8">
        <v>46044</v>
      </c>
      <c r="B74" t="s">
        <v>1417</v>
      </c>
      <c r="C74" t="s">
        <v>1227</v>
      </c>
      <c r="D74" t="s">
        <v>1312</v>
      </c>
      <c r="E74" s="13">
        <v>35195.620000000003</v>
      </c>
      <c r="F74">
        <v>6800</v>
      </c>
      <c r="G74" t="s">
        <v>1418</v>
      </c>
    </row>
    <row r="75" spans="1:7" x14ac:dyDescent="0.3">
      <c r="A75" s="8">
        <v>46044</v>
      </c>
      <c r="B75" t="s">
        <v>1419</v>
      </c>
      <c r="C75" t="s">
        <v>1208</v>
      </c>
      <c r="D75" t="s">
        <v>1420</v>
      </c>
      <c r="E75" s="13">
        <v>19505.2</v>
      </c>
      <c r="F75">
        <v>1100</v>
      </c>
      <c r="G75" t="s">
        <v>1421</v>
      </c>
    </row>
    <row r="76" spans="1:7" x14ac:dyDescent="0.3">
      <c r="A76" s="8">
        <v>46045</v>
      </c>
      <c r="B76" t="s">
        <v>1422</v>
      </c>
      <c r="C76" t="s">
        <v>1208</v>
      </c>
      <c r="D76" t="s">
        <v>1423</v>
      </c>
      <c r="E76" s="13">
        <v>13568.43</v>
      </c>
      <c r="F76">
        <v>2000</v>
      </c>
      <c r="G76" t="s">
        <v>1424</v>
      </c>
    </row>
    <row r="77" spans="1:7" x14ac:dyDescent="0.3">
      <c r="A77" s="8">
        <v>46045</v>
      </c>
      <c r="B77" t="s">
        <v>1425</v>
      </c>
      <c r="C77" t="s">
        <v>1234</v>
      </c>
      <c r="D77" t="s">
        <v>1426</v>
      </c>
      <c r="E77" s="13">
        <v>28247.83</v>
      </c>
      <c r="F77">
        <v>6800</v>
      </c>
      <c r="G77" t="s">
        <v>1427</v>
      </c>
    </row>
    <row r="78" spans="1:7" x14ac:dyDescent="0.3">
      <c r="A78" s="8">
        <v>46045</v>
      </c>
      <c r="B78" t="s">
        <v>1428</v>
      </c>
      <c r="C78" t="s">
        <v>1212</v>
      </c>
      <c r="D78" t="s">
        <v>1429</v>
      </c>
      <c r="E78" s="13">
        <v>23135.11</v>
      </c>
      <c r="F78">
        <v>2000</v>
      </c>
      <c r="G78" t="s">
        <v>1430</v>
      </c>
    </row>
    <row r="79" spans="1:7" x14ac:dyDescent="0.3">
      <c r="A79" s="8">
        <v>46045</v>
      </c>
      <c r="B79" t="s">
        <v>1431</v>
      </c>
      <c r="C79" t="s">
        <v>1234</v>
      </c>
      <c r="D79" t="s">
        <v>1432</v>
      </c>
      <c r="E79" s="13">
        <v>10578.02</v>
      </c>
      <c r="F79">
        <v>6200</v>
      </c>
      <c r="G79" t="s">
        <v>1433</v>
      </c>
    </row>
    <row r="80" spans="1:7" x14ac:dyDescent="0.3">
      <c r="A80" s="8">
        <v>46045</v>
      </c>
      <c r="B80" t="s">
        <v>1434</v>
      </c>
      <c r="C80" t="s">
        <v>1212</v>
      </c>
      <c r="D80" t="s">
        <v>1258</v>
      </c>
      <c r="E80" s="13">
        <v>9583.84</v>
      </c>
      <c r="F80">
        <v>6200</v>
      </c>
      <c r="G80" t="s">
        <v>1435</v>
      </c>
    </row>
    <row r="81" spans="1:7" x14ac:dyDescent="0.3">
      <c r="A81" s="8">
        <v>46045</v>
      </c>
      <c r="B81" t="s">
        <v>1436</v>
      </c>
      <c r="C81" t="s">
        <v>1220</v>
      </c>
      <c r="D81" t="s">
        <v>1437</v>
      </c>
      <c r="E81" s="13">
        <v>52272.41</v>
      </c>
      <c r="F81">
        <v>2000</v>
      </c>
      <c r="G81" t="s">
        <v>1438</v>
      </c>
    </row>
    <row r="82" spans="1:7" x14ac:dyDescent="0.3">
      <c r="A82" s="8">
        <v>46046</v>
      </c>
      <c r="B82" t="s">
        <v>1439</v>
      </c>
      <c r="C82" t="s">
        <v>1212</v>
      </c>
      <c r="D82" t="s">
        <v>1440</v>
      </c>
      <c r="E82" s="13">
        <v>92084.86</v>
      </c>
      <c r="F82">
        <v>2000</v>
      </c>
    </row>
    <row r="83" spans="1:7" x14ac:dyDescent="0.3">
      <c r="A83" s="8">
        <v>46046</v>
      </c>
      <c r="B83" t="s">
        <v>1441</v>
      </c>
      <c r="C83" t="s">
        <v>1238</v>
      </c>
      <c r="D83" t="s">
        <v>1442</v>
      </c>
      <c r="E83" s="13">
        <v>113846.41</v>
      </c>
      <c r="F83">
        <v>1100</v>
      </c>
      <c r="G83" t="s">
        <v>1253</v>
      </c>
    </row>
    <row r="84" spans="1:7" x14ac:dyDescent="0.3">
      <c r="A84" s="8">
        <v>46047</v>
      </c>
      <c r="B84" t="s">
        <v>1443</v>
      </c>
      <c r="C84" t="s">
        <v>1212</v>
      </c>
      <c r="D84" t="s">
        <v>1444</v>
      </c>
      <c r="E84" s="13">
        <v>7107.56</v>
      </c>
      <c r="F84">
        <v>6800</v>
      </c>
      <c r="G84" t="s">
        <v>1445</v>
      </c>
    </row>
    <row r="85" spans="1:7" x14ac:dyDescent="0.3">
      <c r="A85" s="8">
        <v>46047</v>
      </c>
      <c r="B85" t="s">
        <v>1446</v>
      </c>
      <c r="C85" t="s">
        <v>1208</v>
      </c>
      <c r="D85" t="s">
        <v>1447</v>
      </c>
      <c r="E85" s="13">
        <v>91400.81</v>
      </c>
      <c r="F85">
        <v>1100</v>
      </c>
      <c r="G85" t="s">
        <v>1448</v>
      </c>
    </row>
    <row r="86" spans="1:7" x14ac:dyDescent="0.3">
      <c r="A86" s="8">
        <v>46047</v>
      </c>
      <c r="B86" t="s">
        <v>1449</v>
      </c>
      <c r="C86" t="s">
        <v>1212</v>
      </c>
      <c r="D86" t="s">
        <v>1450</v>
      </c>
      <c r="E86" s="13">
        <v>80268.83</v>
      </c>
      <c r="F86">
        <v>2000</v>
      </c>
      <c r="G86" t="s">
        <v>1451</v>
      </c>
    </row>
    <row r="87" spans="1:7" x14ac:dyDescent="0.3">
      <c r="A87" s="8">
        <v>46047</v>
      </c>
      <c r="B87" t="s">
        <v>1452</v>
      </c>
      <c r="C87" t="s">
        <v>1238</v>
      </c>
      <c r="D87" t="s">
        <v>1453</v>
      </c>
      <c r="E87" s="13">
        <v>39641.599999999999</v>
      </c>
      <c r="F87">
        <v>1100</v>
      </c>
      <c r="G87" t="s">
        <v>1454</v>
      </c>
    </row>
    <row r="88" spans="1:7" x14ac:dyDescent="0.3">
      <c r="A88" s="8">
        <v>46048</v>
      </c>
      <c r="B88" t="s">
        <v>1455</v>
      </c>
      <c r="C88" t="s">
        <v>1220</v>
      </c>
      <c r="D88" t="s">
        <v>1456</v>
      </c>
      <c r="E88" s="13">
        <v>113340.09</v>
      </c>
      <c r="F88">
        <v>2000</v>
      </c>
      <c r="G88" t="s">
        <v>1457</v>
      </c>
    </row>
    <row r="89" spans="1:7" x14ac:dyDescent="0.3">
      <c r="A89" s="8">
        <v>46048</v>
      </c>
      <c r="B89" t="s">
        <v>1458</v>
      </c>
      <c r="C89" t="s">
        <v>1216</v>
      </c>
      <c r="D89" t="s">
        <v>1217</v>
      </c>
      <c r="E89" s="13">
        <v>31859.51</v>
      </c>
      <c r="F89">
        <v>6000</v>
      </c>
      <c r="G89" t="s">
        <v>1459</v>
      </c>
    </row>
    <row r="90" spans="1:7" x14ac:dyDescent="0.3">
      <c r="A90" s="8">
        <v>46048</v>
      </c>
      <c r="B90" t="s">
        <v>1460</v>
      </c>
      <c r="C90" t="s">
        <v>1212</v>
      </c>
      <c r="D90" t="s">
        <v>1461</v>
      </c>
      <c r="E90" s="13">
        <v>96407.42</v>
      </c>
      <c r="F90">
        <v>2000</v>
      </c>
      <c r="G90" t="s">
        <v>1462</v>
      </c>
    </row>
    <row r="91" spans="1:7" x14ac:dyDescent="0.3">
      <c r="A91" s="8">
        <v>46048</v>
      </c>
      <c r="B91" t="s">
        <v>1463</v>
      </c>
      <c r="C91" t="s">
        <v>1201</v>
      </c>
      <c r="D91" t="s">
        <v>1464</v>
      </c>
      <c r="E91" s="13">
        <v>15017.31</v>
      </c>
      <c r="F91">
        <v>1100</v>
      </c>
      <c r="G91" t="s">
        <v>1465</v>
      </c>
    </row>
    <row r="92" spans="1:7" x14ac:dyDescent="0.3">
      <c r="A92" s="8">
        <v>46049</v>
      </c>
      <c r="B92" t="s">
        <v>1466</v>
      </c>
      <c r="C92" t="s">
        <v>1212</v>
      </c>
      <c r="D92" t="s">
        <v>1444</v>
      </c>
      <c r="E92" s="13">
        <v>29863.13</v>
      </c>
      <c r="F92">
        <v>6200</v>
      </c>
      <c r="G92" t="s">
        <v>1467</v>
      </c>
    </row>
    <row r="93" spans="1:7" x14ac:dyDescent="0.3">
      <c r="A93" s="8">
        <v>46049</v>
      </c>
      <c r="B93" t="s">
        <v>1468</v>
      </c>
      <c r="C93" t="s">
        <v>1227</v>
      </c>
      <c r="D93" t="s">
        <v>1469</v>
      </c>
      <c r="E93" s="13">
        <v>29930.52</v>
      </c>
      <c r="F93">
        <v>2000</v>
      </c>
      <c r="G93" t="s">
        <v>1470</v>
      </c>
    </row>
    <row r="94" spans="1:7" x14ac:dyDescent="0.3">
      <c r="A94" s="8">
        <v>46049</v>
      </c>
      <c r="B94" t="s">
        <v>1471</v>
      </c>
      <c r="C94" t="s">
        <v>1216</v>
      </c>
      <c r="D94" t="s">
        <v>1472</v>
      </c>
      <c r="E94" s="13">
        <v>46685.18</v>
      </c>
      <c r="F94">
        <v>2000</v>
      </c>
      <c r="G94" t="s">
        <v>1473</v>
      </c>
    </row>
    <row r="95" spans="1:7" x14ac:dyDescent="0.3">
      <c r="A95" s="8">
        <v>46050</v>
      </c>
      <c r="B95" t="s">
        <v>1474</v>
      </c>
      <c r="C95" t="s">
        <v>1220</v>
      </c>
      <c r="D95" t="s">
        <v>1475</v>
      </c>
      <c r="E95" s="13">
        <v>58103.1</v>
      </c>
      <c r="F95">
        <v>2000</v>
      </c>
      <c r="G95" t="s">
        <v>1476</v>
      </c>
    </row>
    <row r="96" spans="1:7" x14ac:dyDescent="0.3">
      <c r="A96" s="8">
        <v>46050</v>
      </c>
      <c r="B96" t="s">
        <v>1477</v>
      </c>
      <c r="C96" t="s">
        <v>1227</v>
      </c>
      <c r="D96" t="s">
        <v>1478</v>
      </c>
      <c r="E96" s="13">
        <v>22410.880000000001</v>
      </c>
      <c r="F96">
        <v>2000</v>
      </c>
      <c r="G96" t="s">
        <v>1479</v>
      </c>
    </row>
    <row r="97" spans="1:7" x14ac:dyDescent="0.3">
      <c r="A97" s="8">
        <v>46050</v>
      </c>
      <c r="B97" t="s">
        <v>1480</v>
      </c>
      <c r="C97" t="s">
        <v>1238</v>
      </c>
      <c r="D97" t="s">
        <v>1481</v>
      </c>
      <c r="E97" s="13">
        <v>106737.23</v>
      </c>
      <c r="F97">
        <v>9999</v>
      </c>
      <c r="G97" t="s">
        <v>1482</v>
      </c>
    </row>
    <row r="98" spans="1:7" x14ac:dyDescent="0.3">
      <c r="A98" s="8">
        <v>46050</v>
      </c>
      <c r="B98" t="s">
        <v>1483</v>
      </c>
      <c r="C98" t="s">
        <v>1208</v>
      </c>
      <c r="D98" t="s">
        <v>1209</v>
      </c>
      <c r="E98" s="13">
        <v>58929.93</v>
      </c>
      <c r="F98">
        <v>6100</v>
      </c>
      <c r="G98" t="s">
        <v>1484</v>
      </c>
    </row>
    <row r="99" spans="1:7" x14ac:dyDescent="0.3">
      <c r="A99" s="8">
        <v>46051</v>
      </c>
      <c r="B99" t="s">
        <v>1485</v>
      </c>
      <c r="C99" t="s">
        <v>1251</v>
      </c>
      <c r="D99" t="s">
        <v>1486</v>
      </c>
      <c r="E99" s="13">
        <v>194260.07</v>
      </c>
      <c r="F99">
        <v>1100</v>
      </c>
      <c r="G99" t="s">
        <v>1487</v>
      </c>
    </row>
    <row r="100" spans="1:7" x14ac:dyDescent="0.3">
      <c r="A100" s="8">
        <v>46051</v>
      </c>
      <c r="B100" t="s">
        <v>1488</v>
      </c>
      <c r="C100" t="s">
        <v>1212</v>
      </c>
      <c r="D100" t="s">
        <v>1489</v>
      </c>
      <c r="E100" s="13">
        <v>19974.43</v>
      </c>
      <c r="F100">
        <v>6400</v>
      </c>
      <c r="G100" t="s">
        <v>1490</v>
      </c>
    </row>
    <row r="101" spans="1:7" x14ac:dyDescent="0.3">
      <c r="A101" s="8">
        <v>46051</v>
      </c>
      <c r="B101" t="s">
        <v>1491</v>
      </c>
      <c r="C101" t="s">
        <v>1234</v>
      </c>
      <c r="D101" t="s">
        <v>1426</v>
      </c>
      <c r="E101" s="13">
        <v>9988.3700000000008</v>
      </c>
      <c r="F101">
        <v>6700</v>
      </c>
      <c r="G101" t="s">
        <v>1492</v>
      </c>
    </row>
    <row r="102" spans="1:7" x14ac:dyDescent="0.3">
      <c r="A102" s="8">
        <v>46051</v>
      </c>
      <c r="B102" t="s">
        <v>1493</v>
      </c>
      <c r="C102" t="s">
        <v>1220</v>
      </c>
      <c r="D102" t="s">
        <v>1494</v>
      </c>
      <c r="E102" s="13">
        <v>16748.04</v>
      </c>
      <c r="F102">
        <v>2000</v>
      </c>
      <c r="G102" t="s">
        <v>1495</v>
      </c>
    </row>
    <row r="103" spans="1:7" x14ac:dyDescent="0.3">
      <c r="A103" s="8">
        <v>46051</v>
      </c>
      <c r="B103" t="s">
        <v>1496</v>
      </c>
      <c r="C103" t="s">
        <v>1201</v>
      </c>
      <c r="D103" t="s">
        <v>1497</v>
      </c>
      <c r="E103" s="13">
        <v>104729.47</v>
      </c>
      <c r="F103">
        <v>2000</v>
      </c>
      <c r="G103" t="s">
        <v>1498</v>
      </c>
    </row>
    <row r="104" spans="1:7" x14ac:dyDescent="0.3">
      <c r="A104" s="8">
        <v>46051</v>
      </c>
      <c r="B104" t="s">
        <v>1499</v>
      </c>
      <c r="C104" t="s">
        <v>1251</v>
      </c>
      <c r="D104" t="s">
        <v>1500</v>
      </c>
      <c r="E104" s="13">
        <v>72379.3</v>
      </c>
      <c r="F104">
        <v>2000</v>
      </c>
      <c r="G104" t="s">
        <v>1501</v>
      </c>
    </row>
    <row r="105" spans="1:7" x14ac:dyDescent="0.3">
      <c r="A105" s="8">
        <v>46052</v>
      </c>
      <c r="B105" t="s">
        <v>1502</v>
      </c>
      <c r="C105" t="s">
        <v>1216</v>
      </c>
      <c r="D105" t="s">
        <v>1390</v>
      </c>
      <c r="E105" s="13">
        <v>25024.45</v>
      </c>
      <c r="F105">
        <v>6100</v>
      </c>
      <c r="G105" t="s">
        <v>1503</v>
      </c>
    </row>
    <row r="106" spans="1:7" x14ac:dyDescent="0.3">
      <c r="A106" s="8">
        <v>46052</v>
      </c>
      <c r="B106" t="s">
        <v>1504</v>
      </c>
      <c r="C106" t="s">
        <v>1288</v>
      </c>
      <c r="D106" t="s">
        <v>1505</v>
      </c>
      <c r="E106" s="13">
        <v>88196.87</v>
      </c>
      <c r="F106">
        <v>2000</v>
      </c>
      <c r="G106" t="s">
        <v>1506</v>
      </c>
    </row>
    <row r="107" spans="1:7" x14ac:dyDescent="0.3">
      <c r="A107" s="8">
        <v>46052</v>
      </c>
      <c r="B107" t="s">
        <v>1507</v>
      </c>
      <c r="C107" t="s">
        <v>1220</v>
      </c>
      <c r="D107" t="s">
        <v>1508</v>
      </c>
      <c r="E107" s="13">
        <v>120060.89</v>
      </c>
      <c r="F107">
        <v>2000</v>
      </c>
      <c r="G107" t="s">
        <v>1509</v>
      </c>
    </row>
    <row r="108" spans="1:7" x14ac:dyDescent="0.3">
      <c r="A108" s="8">
        <v>46052</v>
      </c>
      <c r="B108" t="s">
        <v>1510</v>
      </c>
      <c r="C108" t="s">
        <v>1227</v>
      </c>
      <c r="D108" t="s">
        <v>1511</v>
      </c>
      <c r="E108" s="13">
        <v>43072.19</v>
      </c>
      <c r="F108">
        <v>1100</v>
      </c>
      <c r="G108" t="s">
        <v>1512</v>
      </c>
    </row>
    <row r="109" spans="1:7" x14ac:dyDescent="0.3">
      <c r="A109" s="8">
        <v>46053</v>
      </c>
      <c r="B109" t="s">
        <v>1513</v>
      </c>
      <c r="C109" t="s">
        <v>1234</v>
      </c>
      <c r="D109" t="s">
        <v>1514</v>
      </c>
      <c r="E109" s="13">
        <v>28498.04</v>
      </c>
      <c r="F109">
        <v>6200</v>
      </c>
      <c r="G109" t="s">
        <v>1515</v>
      </c>
    </row>
    <row r="110" spans="1:7" x14ac:dyDescent="0.3">
      <c r="A110" s="8">
        <v>46053</v>
      </c>
      <c r="B110" t="s">
        <v>1516</v>
      </c>
      <c r="C110" t="s">
        <v>1288</v>
      </c>
      <c r="D110" t="s">
        <v>1517</v>
      </c>
      <c r="E110" s="13">
        <v>16449.07</v>
      </c>
      <c r="F110">
        <v>6700</v>
      </c>
      <c r="G110" t="s">
        <v>1518</v>
      </c>
    </row>
    <row r="111" spans="1:7" x14ac:dyDescent="0.3">
      <c r="A111" s="8">
        <v>46054</v>
      </c>
      <c r="B111" t="s">
        <v>1519</v>
      </c>
      <c r="C111" t="s">
        <v>1227</v>
      </c>
      <c r="D111" t="s">
        <v>1520</v>
      </c>
      <c r="E111" s="13">
        <v>194027.13</v>
      </c>
      <c r="F111">
        <v>1100</v>
      </c>
      <c r="G111" t="s">
        <v>1521</v>
      </c>
    </row>
    <row r="112" spans="1:7" x14ac:dyDescent="0.3">
      <c r="A112" s="8">
        <v>46054</v>
      </c>
      <c r="B112" t="s">
        <v>1522</v>
      </c>
      <c r="C112" t="s">
        <v>1220</v>
      </c>
      <c r="D112" t="s">
        <v>1523</v>
      </c>
      <c r="E112" s="13">
        <v>172393.71</v>
      </c>
      <c r="F112">
        <v>1100</v>
      </c>
      <c r="G112" t="s">
        <v>1524</v>
      </c>
    </row>
    <row r="113" spans="1:7" x14ac:dyDescent="0.3">
      <c r="A113" s="8">
        <v>46054</v>
      </c>
      <c r="B113" t="s">
        <v>1525</v>
      </c>
      <c r="C113" t="s">
        <v>1234</v>
      </c>
      <c r="D113" t="s">
        <v>1526</v>
      </c>
      <c r="E113" s="13">
        <v>-760.19</v>
      </c>
      <c r="F113">
        <v>6600</v>
      </c>
      <c r="G113" t="s">
        <v>1527</v>
      </c>
    </row>
    <row r="114" spans="1:7" x14ac:dyDescent="0.3">
      <c r="A114" s="8">
        <v>46055</v>
      </c>
      <c r="B114" t="s">
        <v>1528</v>
      </c>
      <c r="C114" t="s">
        <v>1201</v>
      </c>
      <c r="D114" t="s">
        <v>1529</v>
      </c>
      <c r="E114" s="13">
        <v>36295.519999999997</v>
      </c>
      <c r="F114">
        <v>1100</v>
      </c>
      <c r="G114" t="s">
        <v>1530</v>
      </c>
    </row>
    <row r="115" spans="1:7" x14ac:dyDescent="0.3">
      <c r="A115" s="8">
        <v>46055</v>
      </c>
      <c r="B115" t="s">
        <v>1531</v>
      </c>
      <c r="C115" t="s">
        <v>1234</v>
      </c>
      <c r="D115" t="s">
        <v>1532</v>
      </c>
      <c r="E115" s="13">
        <v>59099.4</v>
      </c>
      <c r="F115">
        <v>2000</v>
      </c>
      <c r="G115" t="s">
        <v>1533</v>
      </c>
    </row>
    <row r="116" spans="1:7" x14ac:dyDescent="0.3">
      <c r="A116" s="8">
        <v>46055</v>
      </c>
      <c r="B116" t="s">
        <v>1534</v>
      </c>
      <c r="C116" t="s">
        <v>1251</v>
      </c>
      <c r="D116" t="s">
        <v>1321</v>
      </c>
      <c r="E116" s="13">
        <v>39936.800000000003</v>
      </c>
      <c r="F116">
        <v>6200</v>
      </c>
      <c r="G116" t="s">
        <v>1535</v>
      </c>
    </row>
    <row r="117" spans="1:7" x14ac:dyDescent="0.3">
      <c r="A117" s="8">
        <v>46055</v>
      </c>
      <c r="B117" t="s">
        <v>1536</v>
      </c>
      <c r="C117" t="s">
        <v>1220</v>
      </c>
      <c r="D117" t="s">
        <v>1537</v>
      </c>
      <c r="E117" s="13">
        <v>140422.84</v>
      </c>
      <c r="F117">
        <v>2000</v>
      </c>
      <c r="G117" t="s">
        <v>1538</v>
      </c>
    </row>
    <row r="118" spans="1:7" x14ac:dyDescent="0.3">
      <c r="A118" s="8">
        <v>46055</v>
      </c>
      <c r="B118" t="s">
        <v>1539</v>
      </c>
      <c r="C118" t="s">
        <v>1288</v>
      </c>
      <c r="D118" t="s">
        <v>1540</v>
      </c>
      <c r="E118" s="13">
        <v>48155.61</v>
      </c>
      <c r="F118">
        <v>6300</v>
      </c>
      <c r="G118" t="s">
        <v>1541</v>
      </c>
    </row>
    <row r="119" spans="1:7" x14ac:dyDescent="0.3">
      <c r="A119" s="8">
        <v>46056</v>
      </c>
      <c r="B119" t="s">
        <v>1542</v>
      </c>
      <c r="C119" t="s">
        <v>1227</v>
      </c>
      <c r="D119" t="s">
        <v>1343</v>
      </c>
      <c r="E119" s="13">
        <v>39085.51</v>
      </c>
      <c r="F119">
        <v>6100</v>
      </c>
      <c r="G119" t="s">
        <v>1543</v>
      </c>
    </row>
    <row r="120" spans="1:7" x14ac:dyDescent="0.3">
      <c r="A120" s="8">
        <v>46056</v>
      </c>
      <c r="B120" t="s">
        <v>1544</v>
      </c>
      <c r="C120" t="s">
        <v>1251</v>
      </c>
      <c r="D120" t="s">
        <v>1545</v>
      </c>
      <c r="E120" s="13">
        <v>67917.66</v>
      </c>
      <c r="F120">
        <v>6100</v>
      </c>
      <c r="G120" t="s">
        <v>1546</v>
      </c>
    </row>
    <row r="121" spans="1:7" x14ac:dyDescent="0.3">
      <c r="A121" s="8">
        <v>46057</v>
      </c>
      <c r="B121" t="s">
        <v>1547</v>
      </c>
      <c r="C121" t="s">
        <v>1220</v>
      </c>
      <c r="D121" t="s">
        <v>1292</v>
      </c>
      <c r="E121" s="13">
        <v>22033.89</v>
      </c>
      <c r="F121">
        <v>6000</v>
      </c>
      <c r="G121" t="s">
        <v>1548</v>
      </c>
    </row>
    <row r="122" spans="1:7" x14ac:dyDescent="0.3">
      <c r="A122" s="8">
        <v>46114</v>
      </c>
      <c r="B122" t="s">
        <v>1549</v>
      </c>
      <c r="C122" t="s">
        <v>1201</v>
      </c>
      <c r="D122" t="s">
        <v>1550</v>
      </c>
      <c r="E122" s="13">
        <v>82564.73</v>
      </c>
      <c r="F122">
        <v>2000</v>
      </c>
      <c r="G122" t="s">
        <v>1551</v>
      </c>
    </row>
    <row r="123" spans="1:7" x14ac:dyDescent="0.3">
      <c r="A123" s="8">
        <v>46057</v>
      </c>
      <c r="B123" t="s">
        <v>1552</v>
      </c>
      <c r="C123" t="s">
        <v>1234</v>
      </c>
      <c r="D123" t="s">
        <v>1553</v>
      </c>
      <c r="E123" s="13">
        <v>7809.61</v>
      </c>
      <c r="F123">
        <v>1100</v>
      </c>
      <c r="G123" t="s">
        <v>1554</v>
      </c>
    </row>
    <row r="124" spans="1:7" x14ac:dyDescent="0.3">
      <c r="A124" s="8">
        <v>46058</v>
      </c>
      <c r="B124" t="s">
        <v>1555</v>
      </c>
      <c r="C124" t="s">
        <v>1238</v>
      </c>
      <c r="D124" t="s">
        <v>1556</v>
      </c>
      <c r="E124" s="13">
        <v>153535.76</v>
      </c>
      <c r="F124">
        <v>1100</v>
      </c>
      <c r="G124" t="s">
        <v>1557</v>
      </c>
    </row>
    <row r="125" spans="1:7" x14ac:dyDescent="0.3">
      <c r="A125" s="8">
        <v>46058</v>
      </c>
      <c r="B125" t="s">
        <v>1558</v>
      </c>
      <c r="C125" t="s">
        <v>1201</v>
      </c>
      <c r="D125" t="s">
        <v>1559</v>
      </c>
      <c r="E125" s="13">
        <v>22976.400000000001</v>
      </c>
      <c r="F125">
        <v>6200</v>
      </c>
      <c r="G125" t="s">
        <v>1560</v>
      </c>
    </row>
    <row r="126" spans="1:7" x14ac:dyDescent="0.3">
      <c r="A126" s="8">
        <v>46058</v>
      </c>
      <c r="B126" t="s">
        <v>1561</v>
      </c>
      <c r="C126" t="s">
        <v>1251</v>
      </c>
      <c r="D126" t="s">
        <v>1562</v>
      </c>
      <c r="E126" s="13">
        <v>10119.14</v>
      </c>
      <c r="F126">
        <v>2000</v>
      </c>
      <c r="G126" t="s">
        <v>1563</v>
      </c>
    </row>
    <row r="127" spans="1:7" x14ac:dyDescent="0.3">
      <c r="A127" s="8">
        <v>46058</v>
      </c>
      <c r="B127" t="s">
        <v>1564</v>
      </c>
      <c r="C127" t="s">
        <v>1251</v>
      </c>
      <c r="D127" t="s">
        <v>1565</v>
      </c>
      <c r="E127" s="13">
        <v>2525.94</v>
      </c>
      <c r="F127">
        <v>4000</v>
      </c>
      <c r="G127" t="s">
        <v>1566</v>
      </c>
    </row>
    <row r="128" spans="1:7" x14ac:dyDescent="0.3">
      <c r="A128" s="8">
        <v>46059</v>
      </c>
      <c r="B128" t="s">
        <v>1567</v>
      </c>
      <c r="C128" t="s">
        <v>1201</v>
      </c>
      <c r="D128" t="s">
        <v>1568</v>
      </c>
      <c r="E128" s="13">
        <v>48805.68</v>
      </c>
      <c r="F128">
        <v>6400</v>
      </c>
      <c r="G128" t="s">
        <v>1569</v>
      </c>
    </row>
    <row r="129" spans="1:7" x14ac:dyDescent="0.3">
      <c r="A129" s="8">
        <v>46060</v>
      </c>
      <c r="B129" t="s">
        <v>1570</v>
      </c>
      <c r="C129" t="s">
        <v>1234</v>
      </c>
      <c r="D129" t="s">
        <v>1526</v>
      </c>
      <c r="E129" s="13">
        <v>-107.28</v>
      </c>
      <c r="F129">
        <v>1100</v>
      </c>
      <c r="G129" t="s">
        <v>1571</v>
      </c>
    </row>
    <row r="130" spans="1:7" x14ac:dyDescent="0.3">
      <c r="A130" s="8">
        <v>46060</v>
      </c>
      <c r="B130" t="s">
        <v>1572</v>
      </c>
      <c r="C130" t="s">
        <v>1234</v>
      </c>
      <c r="D130" t="s">
        <v>1526</v>
      </c>
      <c r="E130" s="13">
        <v>-955.13</v>
      </c>
      <c r="F130">
        <v>1000</v>
      </c>
      <c r="G130" t="s">
        <v>1573</v>
      </c>
    </row>
    <row r="131" spans="1:7" x14ac:dyDescent="0.3">
      <c r="A131" s="8">
        <v>46060</v>
      </c>
      <c r="B131" t="s">
        <v>1574</v>
      </c>
      <c r="C131" t="s">
        <v>1234</v>
      </c>
      <c r="D131" t="s">
        <v>1575</v>
      </c>
      <c r="E131" s="13">
        <v>143843.69</v>
      </c>
      <c r="F131">
        <v>1100</v>
      </c>
      <c r="G131" t="s">
        <v>1576</v>
      </c>
    </row>
    <row r="132" spans="1:7" x14ac:dyDescent="0.3">
      <c r="A132" s="8">
        <v>46061</v>
      </c>
      <c r="B132" t="s">
        <v>1577</v>
      </c>
      <c r="C132" t="s">
        <v>1212</v>
      </c>
      <c r="D132" t="s">
        <v>1578</v>
      </c>
      <c r="E132" s="13">
        <v>109055.03999999999</v>
      </c>
      <c r="F132">
        <v>1100</v>
      </c>
      <c r="G132" t="s">
        <v>1579</v>
      </c>
    </row>
    <row r="133" spans="1:7" x14ac:dyDescent="0.3">
      <c r="A133" s="8">
        <v>46061</v>
      </c>
      <c r="B133" t="s">
        <v>1580</v>
      </c>
      <c r="C133" t="s">
        <v>1216</v>
      </c>
      <c r="D133" t="s">
        <v>1581</v>
      </c>
      <c r="E133" s="13">
        <v>23053.52</v>
      </c>
      <c r="F133">
        <v>2000</v>
      </c>
      <c r="G133" t="s">
        <v>1582</v>
      </c>
    </row>
    <row r="134" spans="1:7" x14ac:dyDescent="0.3">
      <c r="A134" s="8">
        <v>46061</v>
      </c>
      <c r="B134" t="s">
        <v>1583</v>
      </c>
      <c r="C134" t="s">
        <v>1251</v>
      </c>
      <c r="D134" t="s">
        <v>1584</v>
      </c>
      <c r="E134" s="13">
        <v>93299.07</v>
      </c>
      <c r="F134">
        <v>2000</v>
      </c>
      <c r="G134" t="s">
        <v>1585</v>
      </c>
    </row>
    <row r="135" spans="1:7" x14ac:dyDescent="0.3">
      <c r="A135" s="8">
        <v>46061</v>
      </c>
      <c r="B135" t="s">
        <v>1586</v>
      </c>
      <c r="C135" t="s">
        <v>1201</v>
      </c>
      <c r="D135" t="s">
        <v>1587</v>
      </c>
      <c r="E135" s="13">
        <v>19291.009999999998</v>
      </c>
      <c r="F135">
        <v>6800</v>
      </c>
      <c r="G135" t="s">
        <v>1588</v>
      </c>
    </row>
    <row r="136" spans="1:7" x14ac:dyDescent="0.3">
      <c r="A136" s="8">
        <v>46062</v>
      </c>
      <c r="B136" t="s">
        <v>1589</v>
      </c>
      <c r="C136" t="s">
        <v>1212</v>
      </c>
      <c r="D136" t="s">
        <v>1258</v>
      </c>
      <c r="E136" s="13">
        <v>19653.64</v>
      </c>
      <c r="F136">
        <v>6000</v>
      </c>
      <c r="G136" t="s">
        <v>1590</v>
      </c>
    </row>
    <row r="137" spans="1:7" x14ac:dyDescent="0.3">
      <c r="A137" s="8">
        <v>46062</v>
      </c>
      <c r="B137" t="s">
        <v>1591</v>
      </c>
      <c r="C137" t="s">
        <v>1208</v>
      </c>
      <c r="D137" t="s">
        <v>1592</v>
      </c>
      <c r="E137" s="13">
        <v>116888.51</v>
      </c>
      <c r="F137">
        <v>1100</v>
      </c>
      <c r="G137" t="s">
        <v>1593</v>
      </c>
    </row>
    <row r="138" spans="1:7" x14ac:dyDescent="0.3">
      <c r="A138" s="8">
        <v>46062</v>
      </c>
      <c r="B138" t="s">
        <v>1594</v>
      </c>
      <c r="C138" t="s">
        <v>1251</v>
      </c>
      <c r="D138" t="s">
        <v>1595</v>
      </c>
      <c r="E138" s="13">
        <v>141645.32</v>
      </c>
      <c r="F138">
        <v>1100</v>
      </c>
      <c r="G138" t="s">
        <v>1596</v>
      </c>
    </row>
    <row r="139" spans="1:7" x14ac:dyDescent="0.3">
      <c r="A139" s="8">
        <v>46063</v>
      </c>
      <c r="B139" t="s">
        <v>1597</v>
      </c>
      <c r="C139" t="s">
        <v>1227</v>
      </c>
      <c r="D139" t="s">
        <v>1598</v>
      </c>
      <c r="E139" s="13">
        <v>130461.23</v>
      </c>
      <c r="F139">
        <v>2000</v>
      </c>
      <c r="G139" t="s">
        <v>1599</v>
      </c>
    </row>
    <row r="140" spans="1:7" x14ac:dyDescent="0.3">
      <c r="A140" s="8">
        <v>46063</v>
      </c>
      <c r="B140" t="s">
        <v>1600</v>
      </c>
      <c r="C140" t="s">
        <v>1212</v>
      </c>
      <c r="D140" t="s">
        <v>1601</v>
      </c>
      <c r="E140" s="13">
        <v>113017.5</v>
      </c>
      <c r="F140">
        <v>1100</v>
      </c>
      <c r="G140" t="s">
        <v>1602</v>
      </c>
    </row>
    <row r="141" spans="1:7" x14ac:dyDescent="0.3">
      <c r="A141" s="8">
        <v>46064</v>
      </c>
      <c r="B141" t="s">
        <v>1603</v>
      </c>
      <c r="C141" t="s">
        <v>1288</v>
      </c>
      <c r="D141" t="s">
        <v>1604</v>
      </c>
      <c r="E141" s="13">
        <v>53250.54</v>
      </c>
      <c r="F141">
        <v>2000</v>
      </c>
      <c r="G141" t="s">
        <v>1605</v>
      </c>
    </row>
    <row r="142" spans="1:7" x14ac:dyDescent="0.3">
      <c r="A142" s="8">
        <v>46064</v>
      </c>
      <c r="B142" t="s">
        <v>1606</v>
      </c>
      <c r="C142" t="s">
        <v>1234</v>
      </c>
      <c r="D142" t="s">
        <v>1235</v>
      </c>
      <c r="E142" s="13">
        <v>44114.09</v>
      </c>
      <c r="F142">
        <v>6200</v>
      </c>
    </row>
    <row r="143" spans="1:7" x14ac:dyDescent="0.3">
      <c r="A143" s="8">
        <v>46064</v>
      </c>
      <c r="B143" t="s">
        <v>1607</v>
      </c>
      <c r="C143" t="s">
        <v>1201</v>
      </c>
      <c r="D143" t="s">
        <v>1608</v>
      </c>
      <c r="E143" s="13">
        <v>1287</v>
      </c>
      <c r="F143">
        <v>6700</v>
      </c>
      <c r="G143" t="s">
        <v>1609</v>
      </c>
    </row>
    <row r="144" spans="1:7" x14ac:dyDescent="0.3">
      <c r="A144" s="8">
        <v>46064</v>
      </c>
      <c r="B144" t="s">
        <v>1610</v>
      </c>
      <c r="C144" t="s">
        <v>1216</v>
      </c>
      <c r="D144" t="s">
        <v>1611</v>
      </c>
      <c r="E144" s="13">
        <v>73897.95</v>
      </c>
      <c r="F144">
        <v>2000</v>
      </c>
      <c r="G144" t="s">
        <v>1612</v>
      </c>
    </row>
    <row r="145" spans="1:7" x14ac:dyDescent="0.3">
      <c r="A145" s="8">
        <v>46065</v>
      </c>
      <c r="B145" t="s">
        <v>1613</v>
      </c>
      <c r="C145" t="s">
        <v>1251</v>
      </c>
      <c r="D145" t="s">
        <v>1545</v>
      </c>
      <c r="E145" s="13">
        <v>36038.22</v>
      </c>
      <c r="F145">
        <v>6100</v>
      </c>
      <c r="G145" t="s">
        <v>1614</v>
      </c>
    </row>
    <row r="146" spans="1:7" x14ac:dyDescent="0.3">
      <c r="A146" s="8">
        <v>46065</v>
      </c>
      <c r="B146" t="s">
        <v>1615</v>
      </c>
      <c r="C146" t="s">
        <v>1234</v>
      </c>
      <c r="D146" t="s">
        <v>1616</v>
      </c>
      <c r="E146" s="13">
        <v>129641.78</v>
      </c>
      <c r="F146">
        <v>2000</v>
      </c>
      <c r="G146" t="s">
        <v>1617</v>
      </c>
    </row>
    <row r="147" spans="1:7" x14ac:dyDescent="0.3">
      <c r="A147" s="8">
        <v>46067</v>
      </c>
      <c r="B147" t="s">
        <v>1618</v>
      </c>
      <c r="C147" t="s">
        <v>1251</v>
      </c>
      <c r="D147" t="s">
        <v>1619</v>
      </c>
      <c r="E147" s="13">
        <v>57068.4</v>
      </c>
      <c r="F147">
        <v>1100</v>
      </c>
      <c r="G147" t="s">
        <v>1620</v>
      </c>
    </row>
    <row r="148" spans="1:7" x14ac:dyDescent="0.3">
      <c r="A148" s="8">
        <v>46067</v>
      </c>
      <c r="B148" t="s">
        <v>1621</v>
      </c>
      <c r="C148" t="s">
        <v>1220</v>
      </c>
      <c r="D148" t="s">
        <v>1224</v>
      </c>
      <c r="E148" s="13">
        <v>46461.68</v>
      </c>
      <c r="F148">
        <v>6800</v>
      </c>
      <c r="G148" t="s">
        <v>1622</v>
      </c>
    </row>
    <row r="149" spans="1:7" x14ac:dyDescent="0.3">
      <c r="A149" s="8">
        <v>46067</v>
      </c>
      <c r="B149" t="s">
        <v>1623</v>
      </c>
      <c r="C149" t="s">
        <v>1208</v>
      </c>
      <c r="D149" t="s">
        <v>1624</v>
      </c>
      <c r="E149" s="13">
        <v>3020.28</v>
      </c>
      <c r="F149">
        <v>6000</v>
      </c>
      <c r="G149" t="s">
        <v>1625</v>
      </c>
    </row>
    <row r="150" spans="1:7" x14ac:dyDescent="0.3">
      <c r="A150" s="8">
        <v>46068</v>
      </c>
      <c r="B150" t="s">
        <v>1626</v>
      </c>
      <c r="C150" t="s">
        <v>1288</v>
      </c>
      <c r="D150" t="s">
        <v>1627</v>
      </c>
      <c r="E150" s="13">
        <v>42580.1</v>
      </c>
      <c r="F150">
        <v>6700</v>
      </c>
      <c r="G150" t="s">
        <v>1628</v>
      </c>
    </row>
    <row r="151" spans="1:7" x14ac:dyDescent="0.3">
      <c r="A151" s="8">
        <v>46068</v>
      </c>
      <c r="B151" t="s">
        <v>1629</v>
      </c>
      <c r="C151" t="s">
        <v>1201</v>
      </c>
      <c r="D151" t="s">
        <v>1630</v>
      </c>
      <c r="E151" s="13">
        <v>111598.39999999999</v>
      </c>
      <c r="F151">
        <v>1100</v>
      </c>
      <c r="G151" t="s">
        <v>1631</v>
      </c>
    </row>
    <row r="152" spans="1:7" x14ac:dyDescent="0.3">
      <c r="A152" s="8">
        <v>46068</v>
      </c>
      <c r="B152" t="s">
        <v>1632</v>
      </c>
      <c r="C152" t="s">
        <v>1208</v>
      </c>
      <c r="D152" t="s">
        <v>1633</v>
      </c>
      <c r="E152" s="13">
        <v>168892.61</v>
      </c>
      <c r="F152">
        <v>1100</v>
      </c>
      <c r="G152" t="s">
        <v>1634</v>
      </c>
    </row>
    <row r="153" spans="1:7" x14ac:dyDescent="0.3">
      <c r="A153" s="8">
        <v>46068</v>
      </c>
      <c r="B153" t="s">
        <v>1635</v>
      </c>
      <c r="C153" t="s">
        <v>1234</v>
      </c>
      <c r="D153" t="s">
        <v>1636</v>
      </c>
      <c r="E153" s="13">
        <v>117509.29</v>
      </c>
      <c r="F153">
        <v>2000</v>
      </c>
      <c r="G153" t="s">
        <v>1637</v>
      </c>
    </row>
    <row r="154" spans="1:7" x14ac:dyDescent="0.3">
      <c r="A154" s="8">
        <v>46068</v>
      </c>
      <c r="B154" t="s">
        <v>1638</v>
      </c>
      <c r="C154" t="s">
        <v>1251</v>
      </c>
      <c r="D154" t="s">
        <v>1639</v>
      </c>
      <c r="E154" s="13">
        <v>106235.46</v>
      </c>
      <c r="F154">
        <v>2000</v>
      </c>
      <c r="G154" t="s">
        <v>846</v>
      </c>
    </row>
    <row r="155" spans="1:7" x14ac:dyDescent="0.3">
      <c r="A155" s="8">
        <v>46068</v>
      </c>
      <c r="B155" t="s">
        <v>1640</v>
      </c>
      <c r="C155" t="s">
        <v>1251</v>
      </c>
      <c r="D155" t="s">
        <v>1641</v>
      </c>
      <c r="E155" s="13">
        <v>172669.87</v>
      </c>
      <c r="F155">
        <v>1100</v>
      </c>
      <c r="G155" t="s">
        <v>1642</v>
      </c>
    </row>
    <row r="156" spans="1:7" x14ac:dyDescent="0.3">
      <c r="A156" s="8">
        <v>46069</v>
      </c>
      <c r="B156" t="s">
        <v>1643</v>
      </c>
      <c r="C156" t="s">
        <v>1201</v>
      </c>
      <c r="D156" t="s">
        <v>1644</v>
      </c>
      <c r="E156" s="13">
        <v>46681.69</v>
      </c>
      <c r="F156">
        <v>6700</v>
      </c>
      <c r="G156" t="s">
        <v>1645</v>
      </c>
    </row>
    <row r="157" spans="1:7" x14ac:dyDescent="0.3">
      <c r="A157" s="8">
        <v>46069</v>
      </c>
      <c r="B157" t="s">
        <v>1646</v>
      </c>
      <c r="C157" t="s">
        <v>1288</v>
      </c>
      <c r="D157" t="s">
        <v>1647</v>
      </c>
      <c r="E157" s="13">
        <v>1014.19</v>
      </c>
      <c r="F157">
        <v>9999</v>
      </c>
      <c r="G157" t="s">
        <v>1648</v>
      </c>
    </row>
    <row r="158" spans="1:7" x14ac:dyDescent="0.3">
      <c r="A158" s="8">
        <v>46069</v>
      </c>
      <c r="B158" t="s">
        <v>1649</v>
      </c>
      <c r="C158" t="s">
        <v>1251</v>
      </c>
      <c r="D158" t="s">
        <v>1650</v>
      </c>
      <c r="E158" s="13">
        <v>90551.03</v>
      </c>
      <c r="F158">
        <v>1100</v>
      </c>
      <c r="G158" t="s">
        <v>1651</v>
      </c>
    </row>
    <row r="159" spans="1:7" x14ac:dyDescent="0.3">
      <c r="A159" s="8">
        <v>46069</v>
      </c>
      <c r="B159" t="s">
        <v>1652</v>
      </c>
      <c r="C159" t="s">
        <v>1288</v>
      </c>
      <c r="D159" t="s">
        <v>1653</v>
      </c>
      <c r="E159" s="13">
        <v>91663.75</v>
      </c>
      <c r="F159">
        <v>2000</v>
      </c>
      <c r="G159" t="s">
        <v>1654</v>
      </c>
    </row>
    <row r="160" spans="1:7" x14ac:dyDescent="0.3">
      <c r="A160" s="8">
        <v>46069</v>
      </c>
      <c r="B160" t="s">
        <v>1655</v>
      </c>
      <c r="C160" t="s">
        <v>1216</v>
      </c>
      <c r="D160" t="s">
        <v>1656</v>
      </c>
      <c r="E160" s="13">
        <v>3681.96</v>
      </c>
      <c r="F160">
        <v>1100</v>
      </c>
      <c r="G160" t="s">
        <v>1657</v>
      </c>
    </row>
    <row r="161" spans="1:7" x14ac:dyDescent="0.3">
      <c r="A161" s="8">
        <v>46070</v>
      </c>
      <c r="B161" t="s">
        <v>1658</v>
      </c>
      <c r="C161" t="s">
        <v>1227</v>
      </c>
      <c r="D161" t="s">
        <v>1659</v>
      </c>
      <c r="E161" s="13">
        <v>148920.53</v>
      </c>
      <c r="F161">
        <v>1100</v>
      </c>
      <c r="G161" t="s">
        <v>1660</v>
      </c>
    </row>
    <row r="162" spans="1:7" x14ac:dyDescent="0.3">
      <c r="A162" s="8">
        <v>46070</v>
      </c>
      <c r="B162" t="s">
        <v>1661</v>
      </c>
      <c r="C162" t="s">
        <v>1216</v>
      </c>
      <c r="D162" t="s">
        <v>1662</v>
      </c>
      <c r="E162" s="13">
        <v>119988.24</v>
      </c>
      <c r="F162">
        <v>1100</v>
      </c>
      <c r="G162" t="s">
        <v>1663</v>
      </c>
    </row>
    <row r="163" spans="1:7" x14ac:dyDescent="0.3">
      <c r="A163" s="8">
        <v>46071</v>
      </c>
      <c r="B163" t="s">
        <v>1664</v>
      </c>
      <c r="C163" t="s">
        <v>1288</v>
      </c>
      <c r="D163" t="s">
        <v>1665</v>
      </c>
      <c r="E163" s="13">
        <v>142342.6</v>
      </c>
      <c r="F163">
        <v>1100</v>
      </c>
      <c r="G163" t="s">
        <v>1666</v>
      </c>
    </row>
    <row r="164" spans="1:7" x14ac:dyDescent="0.3">
      <c r="A164" s="8">
        <v>46071</v>
      </c>
      <c r="B164" t="s">
        <v>1667</v>
      </c>
      <c r="C164" t="s">
        <v>1212</v>
      </c>
      <c r="D164" t="s">
        <v>1668</v>
      </c>
      <c r="E164" s="13">
        <v>3979.1</v>
      </c>
      <c r="F164">
        <v>2000</v>
      </c>
      <c r="G164" t="s">
        <v>1669</v>
      </c>
    </row>
    <row r="165" spans="1:7" x14ac:dyDescent="0.3">
      <c r="A165" s="8">
        <v>46071</v>
      </c>
      <c r="B165" t="s">
        <v>1670</v>
      </c>
      <c r="C165" t="s">
        <v>1238</v>
      </c>
      <c r="D165" t="s">
        <v>1671</v>
      </c>
      <c r="E165" s="13">
        <v>79452.17</v>
      </c>
      <c r="F165">
        <v>2000</v>
      </c>
      <c r="G165" t="s">
        <v>1672</v>
      </c>
    </row>
    <row r="166" spans="1:7" x14ac:dyDescent="0.3">
      <c r="A166" s="8">
        <v>46071</v>
      </c>
      <c r="B166" t="s">
        <v>1673</v>
      </c>
      <c r="C166" t="s">
        <v>1201</v>
      </c>
      <c r="D166" t="s">
        <v>1674</v>
      </c>
      <c r="E166" s="13">
        <v>42825.96</v>
      </c>
      <c r="F166">
        <v>6800</v>
      </c>
      <c r="G166" t="s">
        <v>1675</v>
      </c>
    </row>
    <row r="167" spans="1:7" x14ac:dyDescent="0.3">
      <c r="A167" s="8">
        <v>46072</v>
      </c>
      <c r="B167" t="s">
        <v>1676</v>
      </c>
      <c r="C167" t="s">
        <v>1238</v>
      </c>
      <c r="D167" t="s">
        <v>1677</v>
      </c>
      <c r="E167" s="13">
        <v>64860.83</v>
      </c>
      <c r="F167">
        <v>2000</v>
      </c>
      <c r="G167" t="s">
        <v>1678</v>
      </c>
    </row>
    <row r="168" spans="1:7" x14ac:dyDescent="0.3">
      <c r="A168" s="8">
        <v>46072</v>
      </c>
      <c r="B168" t="s">
        <v>1679</v>
      </c>
      <c r="C168" t="s">
        <v>1220</v>
      </c>
      <c r="D168" t="s">
        <v>1224</v>
      </c>
      <c r="E168" s="13">
        <v>13567.97</v>
      </c>
      <c r="F168">
        <v>6800</v>
      </c>
      <c r="G168" t="s">
        <v>1680</v>
      </c>
    </row>
    <row r="169" spans="1:7" x14ac:dyDescent="0.3">
      <c r="A169" s="8">
        <v>46073</v>
      </c>
      <c r="B169" t="s">
        <v>1681</v>
      </c>
      <c r="C169" t="s">
        <v>1251</v>
      </c>
      <c r="D169" t="s">
        <v>1565</v>
      </c>
      <c r="E169" s="13">
        <v>2547.66</v>
      </c>
      <c r="F169">
        <v>6400</v>
      </c>
      <c r="G169" t="s">
        <v>1682</v>
      </c>
    </row>
    <row r="170" spans="1:7" x14ac:dyDescent="0.3">
      <c r="A170" s="8">
        <v>46073</v>
      </c>
      <c r="B170" t="s">
        <v>1683</v>
      </c>
      <c r="C170" t="s">
        <v>1251</v>
      </c>
      <c r="D170" t="s">
        <v>1335</v>
      </c>
      <c r="E170" s="13">
        <v>29125</v>
      </c>
      <c r="F170">
        <v>6400</v>
      </c>
      <c r="G170" t="s">
        <v>1684</v>
      </c>
    </row>
    <row r="171" spans="1:7" x14ac:dyDescent="0.3">
      <c r="A171" s="8">
        <v>46074</v>
      </c>
      <c r="B171" t="s">
        <v>1685</v>
      </c>
      <c r="C171" t="s">
        <v>1220</v>
      </c>
      <c r="D171" t="s">
        <v>1686</v>
      </c>
      <c r="E171" s="13">
        <v>10073.39</v>
      </c>
      <c r="F171">
        <v>6000</v>
      </c>
      <c r="G171" t="s">
        <v>1687</v>
      </c>
    </row>
    <row r="172" spans="1:7" x14ac:dyDescent="0.3">
      <c r="A172" s="8">
        <v>46074</v>
      </c>
      <c r="B172" t="s">
        <v>1688</v>
      </c>
      <c r="C172" t="s">
        <v>1288</v>
      </c>
      <c r="D172" t="s">
        <v>1689</v>
      </c>
      <c r="E172" s="13">
        <v>142514.28</v>
      </c>
      <c r="F172">
        <v>1100</v>
      </c>
      <c r="G172" t="s">
        <v>1690</v>
      </c>
    </row>
    <row r="173" spans="1:7" x14ac:dyDescent="0.3">
      <c r="A173" s="8">
        <v>46074</v>
      </c>
      <c r="B173" t="s">
        <v>1691</v>
      </c>
      <c r="C173" t="s">
        <v>1212</v>
      </c>
      <c r="D173" t="s">
        <v>1692</v>
      </c>
      <c r="E173" s="13">
        <v>96738.559999999998</v>
      </c>
      <c r="F173">
        <v>2000</v>
      </c>
      <c r="G173" t="s">
        <v>1693</v>
      </c>
    </row>
    <row r="174" spans="1:7" x14ac:dyDescent="0.3">
      <c r="A174" s="8">
        <v>46074</v>
      </c>
      <c r="B174" t="s">
        <v>1694</v>
      </c>
      <c r="C174" t="s">
        <v>1238</v>
      </c>
      <c r="D174" t="s">
        <v>1695</v>
      </c>
      <c r="E174" s="13">
        <v>41354.730000000003</v>
      </c>
      <c r="F174">
        <v>6400</v>
      </c>
      <c r="G174" t="s">
        <v>1696</v>
      </c>
    </row>
    <row r="175" spans="1:7" x14ac:dyDescent="0.3">
      <c r="A175" s="8">
        <v>46074</v>
      </c>
      <c r="B175" t="s">
        <v>1697</v>
      </c>
      <c r="C175" t="s">
        <v>1212</v>
      </c>
      <c r="D175" t="s">
        <v>1698</v>
      </c>
      <c r="E175" s="13">
        <v>1877.82</v>
      </c>
      <c r="F175">
        <v>6500</v>
      </c>
      <c r="G175" t="s">
        <v>1699</v>
      </c>
    </row>
    <row r="176" spans="1:7" x14ac:dyDescent="0.3">
      <c r="A176" s="8">
        <v>46075</v>
      </c>
      <c r="B176" t="s">
        <v>1700</v>
      </c>
      <c r="C176" t="s">
        <v>1201</v>
      </c>
      <c r="D176" t="s">
        <v>1701</v>
      </c>
      <c r="E176" s="13">
        <v>20417.46</v>
      </c>
      <c r="F176">
        <v>1100</v>
      </c>
      <c r="G176" t="s">
        <v>1702</v>
      </c>
    </row>
    <row r="177" spans="1:7" x14ac:dyDescent="0.3">
      <c r="A177" s="8">
        <v>46075</v>
      </c>
      <c r="B177" t="s">
        <v>1703</v>
      </c>
      <c r="C177" t="s">
        <v>1212</v>
      </c>
      <c r="D177" t="s">
        <v>1704</v>
      </c>
      <c r="E177" s="13">
        <v>160566</v>
      </c>
      <c r="F177">
        <v>1100</v>
      </c>
      <c r="G177" t="s">
        <v>1705</v>
      </c>
    </row>
    <row r="178" spans="1:7" x14ac:dyDescent="0.3">
      <c r="A178" s="8">
        <v>46075</v>
      </c>
      <c r="B178" t="s">
        <v>1706</v>
      </c>
      <c r="C178" t="s">
        <v>1216</v>
      </c>
      <c r="D178" t="s">
        <v>1217</v>
      </c>
      <c r="E178" s="13">
        <v>32141.48</v>
      </c>
      <c r="F178">
        <v>6200</v>
      </c>
      <c r="G178" t="s">
        <v>1707</v>
      </c>
    </row>
    <row r="179" spans="1:7" x14ac:dyDescent="0.3">
      <c r="A179" s="8">
        <v>46075</v>
      </c>
      <c r="B179" t="s">
        <v>1708</v>
      </c>
      <c r="C179" t="s">
        <v>1288</v>
      </c>
      <c r="D179" t="s">
        <v>1709</v>
      </c>
      <c r="E179" s="13">
        <v>66364.240000000005</v>
      </c>
      <c r="F179">
        <v>2000</v>
      </c>
      <c r="G179" t="s">
        <v>1710</v>
      </c>
    </row>
    <row r="180" spans="1:7" x14ac:dyDescent="0.3">
      <c r="A180" s="8">
        <v>46076</v>
      </c>
      <c r="B180" t="s">
        <v>1711</v>
      </c>
      <c r="C180" t="s">
        <v>1201</v>
      </c>
      <c r="D180" t="s">
        <v>1712</v>
      </c>
      <c r="E180" s="13">
        <v>44208.79</v>
      </c>
      <c r="F180">
        <v>1100</v>
      </c>
      <c r="G180" t="s">
        <v>1713</v>
      </c>
    </row>
    <row r="181" spans="1:7" x14ac:dyDescent="0.3">
      <c r="A181" s="8">
        <v>46077</v>
      </c>
      <c r="B181" t="s">
        <v>1714</v>
      </c>
      <c r="C181" t="s">
        <v>1234</v>
      </c>
      <c r="D181" t="s">
        <v>1715</v>
      </c>
      <c r="E181" s="13">
        <v>118915.36</v>
      </c>
      <c r="F181">
        <v>2000</v>
      </c>
      <c r="G181" t="s">
        <v>1716</v>
      </c>
    </row>
    <row r="182" spans="1:7" x14ac:dyDescent="0.3">
      <c r="A182" t="s">
        <v>1717</v>
      </c>
      <c r="B182" t="s">
        <v>1718</v>
      </c>
      <c r="C182" t="s">
        <v>1220</v>
      </c>
      <c r="D182" t="s">
        <v>1719</v>
      </c>
      <c r="E182" s="13">
        <v>4142.84</v>
      </c>
      <c r="F182">
        <v>2000</v>
      </c>
      <c r="G182" t="s">
        <v>1720</v>
      </c>
    </row>
    <row r="183" spans="1:7" x14ac:dyDescent="0.3">
      <c r="A183" s="8">
        <v>46077</v>
      </c>
      <c r="B183" t="s">
        <v>1721</v>
      </c>
      <c r="C183" t="s">
        <v>1220</v>
      </c>
      <c r="D183" t="s">
        <v>1722</v>
      </c>
      <c r="E183" s="13">
        <v>35387.78</v>
      </c>
      <c r="F183">
        <v>6100</v>
      </c>
      <c r="G183" t="s">
        <v>1723</v>
      </c>
    </row>
    <row r="184" spans="1:7" x14ac:dyDescent="0.3">
      <c r="A184" s="8">
        <v>46078</v>
      </c>
      <c r="B184" t="s">
        <v>1724</v>
      </c>
      <c r="C184" t="s">
        <v>1227</v>
      </c>
      <c r="D184" t="s">
        <v>1725</v>
      </c>
      <c r="E184" s="13">
        <v>61043.360000000001</v>
      </c>
      <c r="F184">
        <v>2000</v>
      </c>
      <c r="G184" t="s">
        <v>1726</v>
      </c>
    </row>
    <row r="185" spans="1:7" x14ac:dyDescent="0.3">
      <c r="A185" s="8">
        <v>46078</v>
      </c>
      <c r="B185" t="s">
        <v>1727</v>
      </c>
      <c r="C185" t="s">
        <v>1288</v>
      </c>
      <c r="D185" t="s">
        <v>1315</v>
      </c>
      <c r="E185" s="13">
        <v>1103.82</v>
      </c>
      <c r="F185">
        <v>6300</v>
      </c>
      <c r="G185" t="s">
        <v>1728</v>
      </c>
    </row>
    <row r="186" spans="1:7" x14ac:dyDescent="0.3">
      <c r="A186" s="8">
        <v>46078</v>
      </c>
      <c r="B186" t="s">
        <v>1729</v>
      </c>
      <c r="C186" t="s">
        <v>1220</v>
      </c>
      <c r="D186" t="s">
        <v>1730</v>
      </c>
      <c r="E186" s="13">
        <v>42444.28</v>
      </c>
      <c r="F186">
        <v>2000</v>
      </c>
      <c r="G186" t="s">
        <v>1731</v>
      </c>
    </row>
    <row r="187" spans="1:7" x14ac:dyDescent="0.3">
      <c r="A187" s="8">
        <v>46079</v>
      </c>
      <c r="B187" t="s">
        <v>1732</v>
      </c>
      <c r="C187" t="s">
        <v>1288</v>
      </c>
      <c r="D187" t="s">
        <v>1733</v>
      </c>
      <c r="E187" s="13">
        <v>52569.61</v>
      </c>
      <c r="F187">
        <v>2000</v>
      </c>
      <c r="G187" t="s">
        <v>1734</v>
      </c>
    </row>
    <row r="188" spans="1:7" x14ac:dyDescent="0.3">
      <c r="A188" s="8">
        <v>46079</v>
      </c>
      <c r="B188" t="s">
        <v>1735</v>
      </c>
      <c r="C188" t="s">
        <v>1216</v>
      </c>
      <c r="D188" t="s">
        <v>1736</v>
      </c>
      <c r="E188" s="13">
        <v>3854.31</v>
      </c>
      <c r="F188">
        <v>1100</v>
      </c>
      <c r="G188" t="s">
        <v>1737</v>
      </c>
    </row>
    <row r="189" spans="1:7" x14ac:dyDescent="0.3">
      <c r="A189" s="8">
        <v>46079</v>
      </c>
      <c r="B189" t="s">
        <v>1738</v>
      </c>
      <c r="C189" t="s">
        <v>1212</v>
      </c>
      <c r="D189" t="s">
        <v>1739</v>
      </c>
      <c r="E189" s="13">
        <v>55198.43</v>
      </c>
      <c r="F189">
        <v>2000</v>
      </c>
      <c r="G189" t="s">
        <v>1740</v>
      </c>
    </row>
    <row r="190" spans="1:7" x14ac:dyDescent="0.3">
      <c r="A190" s="8">
        <v>46079</v>
      </c>
      <c r="B190" t="s">
        <v>1741</v>
      </c>
      <c r="C190" t="s">
        <v>1220</v>
      </c>
      <c r="D190" t="s">
        <v>1742</v>
      </c>
      <c r="E190" s="13">
        <v>27836.03</v>
      </c>
      <c r="F190">
        <v>2000</v>
      </c>
      <c r="G190" t="s">
        <v>1743</v>
      </c>
    </row>
    <row r="191" spans="1:7" x14ac:dyDescent="0.3">
      <c r="A191" s="8">
        <v>46079</v>
      </c>
      <c r="B191" t="s">
        <v>1744</v>
      </c>
      <c r="C191" t="s">
        <v>1251</v>
      </c>
      <c r="D191" t="s">
        <v>1545</v>
      </c>
      <c r="E191" s="13">
        <v>26514.19</v>
      </c>
      <c r="F191">
        <v>6100</v>
      </c>
      <c r="G191" t="s">
        <v>1745</v>
      </c>
    </row>
    <row r="192" spans="1:7" x14ac:dyDescent="0.3">
      <c r="A192" s="8">
        <v>46080</v>
      </c>
      <c r="B192" t="s">
        <v>1746</v>
      </c>
      <c r="C192" t="s">
        <v>1220</v>
      </c>
      <c r="D192" t="s">
        <v>1747</v>
      </c>
      <c r="E192" s="13">
        <v>6815.25</v>
      </c>
      <c r="F192">
        <v>1100</v>
      </c>
      <c r="G192" t="s">
        <v>1748</v>
      </c>
    </row>
    <row r="193" spans="1:7" x14ac:dyDescent="0.3">
      <c r="A193" s="8">
        <v>46080</v>
      </c>
      <c r="B193" t="s">
        <v>1749</v>
      </c>
      <c r="C193" t="s">
        <v>1208</v>
      </c>
      <c r="D193" t="s">
        <v>1750</v>
      </c>
      <c r="E193" s="13">
        <v>26669.75</v>
      </c>
      <c r="F193">
        <v>2000</v>
      </c>
      <c r="G193" t="s">
        <v>1751</v>
      </c>
    </row>
    <row r="194" spans="1:7" x14ac:dyDescent="0.3">
      <c r="A194" s="8">
        <v>46081</v>
      </c>
      <c r="B194" t="s">
        <v>1752</v>
      </c>
      <c r="C194" t="s">
        <v>1234</v>
      </c>
      <c r="D194" t="s">
        <v>1753</v>
      </c>
      <c r="E194" s="13">
        <v>197172.48000000001</v>
      </c>
      <c r="F194">
        <v>1100</v>
      </c>
      <c r="G194" t="s">
        <v>1754</v>
      </c>
    </row>
    <row r="195" spans="1:7" x14ac:dyDescent="0.3">
      <c r="A195" s="8">
        <v>46081</v>
      </c>
      <c r="B195" t="s">
        <v>1755</v>
      </c>
      <c r="C195" t="s">
        <v>1288</v>
      </c>
      <c r="D195" t="s">
        <v>1327</v>
      </c>
      <c r="E195" s="13">
        <v>3086.54</v>
      </c>
      <c r="F195">
        <v>1000</v>
      </c>
      <c r="G195" t="s">
        <v>1756</v>
      </c>
    </row>
    <row r="196" spans="1:7" x14ac:dyDescent="0.3">
      <c r="A196" s="8">
        <v>46081</v>
      </c>
      <c r="B196" t="s">
        <v>1757</v>
      </c>
      <c r="C196" t="s">
        <v>1201</v>
      </c>
      <c r="D196" t="s">
        <v>1758</v>
      </c>
      <c r="E196" s="13">
        <v>24786.959999999999</v>
      </c>
      <c r="F196">
        <v>1100</v>
      </c>
      <c r="G196" t="s">
        <v>1759</v>
      </c>
    </row>
    <row r="197" spans="1:7" x14ac:dyDescent="0.3">
      <c r="A197" s="8">
        <v>46082</v>
      </c>
      <c r="B197" t="s">
        <v>1760</v>
      </c>
      <c r="C197" t="s">
        <v>1251</v>
      </c>
      <c r="D197" t="s">
        <v>1545</v>
      </c>
      <c r="E197" s="13">
        <v>41047.410000000003</v>
      </c>
      <c r="F197">
        <v>6100</v>
      </c>
      <c r="G197" t="s">
        <v>1761</v>
      </c>
    </row>
    <row r="198" spans="1:7" x14ac:dyDescent="0.3">
      <c r="A198" s="8">
        <v>46082</v>
      </c>
      <c r="B198" t="s">
        <v>1762</v>
      </c>
      <c r="C198" t="s">
        <v>1220</v>
      </c>
      <c r="D198" t="s">
        <v>1763</v>
      </c>
      <c r="E198" s="13">
        <v>126333.85</v>
      </c>
      <c r="F198">
        <v>2000</v>
      </c>
      <c r="G198" t="s">
        <v>1764</v>
      </c>
    </row>
    <row r="199" spans="1:7" x14ac:dyDescent="0.3">
      <c r="A199" s="8">
        <v>46082</v>
      </c>
      <c r="B199" t="s">
        <v>1765</v>
      </c>
      <c r="C199" t="s">
        <v>1234</v>
      </c>
      <c r="D199" t="s">
        <v>1245</v>
      </c>
      <c r="E199" s="13">
        <v>88454.66</v>
      </c>
      <c r="F199">
        <v>6100</v>
      </c>
      <c r="G199" t="s">
        <v>1766</v>
      </c>
    </row>
    <row r="200" spans="1:7" x14ac:dyDescent="0.3">
      <c r="A200" s="8">
        <v>46082</v>
      </c>
      <c r="B200" t="s">
        <v>1767</v>
      </c>
      <c r="C200" t="s">
        <v>1212</v>
      </c>
      <c r="D200" t="s">
        <v>1213</v>
      </c>
      <c r="E200" s="13">
        <v>53153.42</v>
      </c>
      <c r="F200">
        <v>6100</v>
      </c>
      <c r="G200" t="s">
        <v>1768</v>
      </c>
    </row>
    <row r="201" spans="1:7" x14ac:dyDescent="0.3">
      <c r="A201" s="8">
        <v>46082</v>
      </c>
      <c r="B201" t="s">
        <v>1769</v>
      </c>
      <c r="C201" t="s">
        <v>1251</v>
      </c>
      <c r="D201" t="s">
        <v>1770</v>
      </c>
      <c r="E201" s="13">
        <v>156769.03</v>
      </c>
      <c r="F201">
        <v>1100</v>
      </c>
      <c r="G201" t="s">
        <v>1771</v>
      </c>
    </row>
    <row r="202" spans="1:7" x14ac:dyDescent="0.3">
      <c r="A202" s="8">
        <v>46083</v>
      </c>
      <c r="B202" t="s">
        <v>1772</v>
      </c>
      <c r="C202" t="s">
        <v>1227</v>
      </c>
      <c r="D202" t="s">
        <v>1773</v>
      </c>
      <c r="E202" s="13">
        <v>139659.03</v>
      </c>
      <c r="F202">
        <v>2000</v>
      </c>
    </row>
    <row r="203" spans="1:7" x14ac:dyDescent="0.3">
      <c r="A203" s="8">
        <v>46084</v>
      </c>
      <c r="B203" t="s">
        <v>1774</v>
      </c>
      <c r="C203" t="s">
        <v>1234</v>
      </c>
      <c r="D203" t="s">
        <v>1775</v>
      </c>
      <c r="E203" s="13">
        <v>82130.63</v>
      </c>
      <c r="F203">
        <v>2000</v>
      </c>
      <c r="G203" t="s">
        <v>1776</v>
      </c>
    </row>
    <row r="204" spans="1:7" x14ac:dyDescent="0.3">
      <c r="A204" s="8">
        <v>46084</v>
      </c>
      <c r="B204" t="s">
        <v>1777</v>
      </c>
      <c r="C204" t="s">
        <v>1238</v>
      </c>
      <c r="D204" t="s">
        <v>1778</v>
      </c>
      <c r="E204" s="13">
        <v>141503.23000000001</v>
      </c>
      <c r="F204">
        <v>2000</v>
      </c>
      <c r="G204" t="s">
        <v>1779</v>
      </c>
    </row>
    <row r="205" spans="1:7" x14ac:dyDescent="0.3">
      <c r="A205" s="8">
        <v>46085</v>
      </c>
      <c r="B205" t="s">
        <v>1780</v>
      </c>
      <c r="C205" t="s">
        <v>1208</v>
      </c>
      <c r="D205" t="s">
        <v>1209</v>
      </c>
      <c r="E205" s="13">
        <v>75393.259999999995</v>
      </c>
      <c r="F205">
        <v>6100</v>
      </c>
      <c r="G205" t="s">
        <v>1781</v>
      </c>
    </row>
    <row r="206" spans="1:7" x14ac:dyDescent="0.3">
      <c r="A206" s="8">
        <v>46086</v>
      </c>
      <c r="B206" t="s">
        <v>1782</v>
      </c>
      <c r="C206" t="s">
        <v>1201</v>
      </c>
      <c r="D206" t="s">
        <v>1783</v>
      </c>
      <c r="E206" s="13">
        <v>118333.22</v>
      </c>
      <c r="F206">
        <v>1100</v>
      </c>
      <c r="G206" t="s">
        <v>1784</v>
      </c>
    </row>
    <row r="207" spans="1:7" x14ac:dyDescent="0.3">
      <c r="A207" s="8">
        <v>46086</v>
      </c>
      <c r="B207" t="s">
        <v>1785</v>
      </c>
      <c r="C207" t="s">
        <v>1208</v>
      </c>
      <c r="D207" t="s">
        <v>1786</v>
      </c>
      <c r="E207" s="13">
        <v>124650.92</v>
      </c>
      <c r="F207">
        <v>2000</v>
      </c>
      <c r="G207" t="s">
        <v>1787</v>
      </c>
    </row>
    <row r="208" spans="1:7" x14ac:dyDescent="0.3">
      <c r="A208" s="8">
        <v>46086</v>
      </c>
      <c r="B208" t="s">
        <v>1788</v>
      </c>
      <c r="C208" t="s">
        <v>1288</v>
      </c>
      <c r="D208" t="s">
        <v>1789</v>
      </c>
      <c r="E208" s="13">
        <v>134478.82</v>
      </c>
      <c r="F208">
        <v>1100</v>
      </c>
      <c r="G208" t="s">
        <v>1790</v>
      </c>
    </row>
    <row r="209" spans="1:7" x14ac:dyDescent="0.3">
      <c r="A209" s="8">
        <v>46086</v>
      </c>
      <c r="B209" t="s">
        <v>1791</v>
      </c>
      <c r="C209" t="s">
        <v>1251</v>
      </c>
      <c r="D209" t="s">
        <v>1792</v>
      </c>
      <c r="E209" s="13">
        <v>68547.960000000006</v>
      </c>
      <c r="F209">
        <v>2000</v>
      </c>
      <c r="G209" t="s">
        <v>1793</v>
      </c>
    </row>
    <row r="210" spans="1:7" x14ac:dyDescent="0.3">
      <c r="A210" s="8">
        <v>46087</v>
      </c>
      <c r="B210" t="s">
        <v>1794</v>
      </c>
      <c r="C210" t="s">
        <v>1220</v>
      </c>
      <c r="D210" t="s">
        <v>1795</v>
      </c>
      <c r="E210" s="13">
        <v>80906.399999999994</v>
      </c>
      <c r="F210">
        <v>2000</v>
      </c>
      <c r="G210" t="s">
        <v>1796</v>
      </c>
    </row>
    <row r="211" spans="1:7" x14ac:dyDescent="0.3">
      <c r="A211" s="8">
        <v>46087</v>
      </c>
      <c r="B211" t="s">
        <v>1797</v>
      </c>
      <c r="C211" t="s">
        <v>1208</v>
      </c>
      <c r="D211" t="s">
        <v>1798</v>
      </c>
      <c r="E211" s="13">
        <v>167075.98000000001</v>
      </c>
      <c r="F211">
        <v>1100</v>
      </c>
      <c r="G211" t="s">
        <v>1799</v>
      </c>
    </row>
    <row r="212" spans="1:7" x14ac:dyDescent="0.3">
      <c r="A212" s="8">
        <v>46088</v>
      </c>
      <c r="B212" t="s">
        <v>1800</v>
      </c>
      <c r="C212" t="s">
        <v>1251</v>
      </c>
      <c r="D212" t="s">
        <v>1801</v>
      </c>
      <c r="E212" s="13">
        <v>17534.78</v>
      </c>
      <c r="F212">
        <v>6700</v>
      </c>
      <c r="G212" t="s">
        <v>1802</v>
      </c>
    </row>
    <row r="213" spans="1:7" x14ac:dyDescent="0.3">
      <c r="A213" s="8">
        <v>46089</v>
      </c>
      <c r="B213" t="s">
        <v>1803</v>
      </c>
      <c r="C213" t="s">
        <v>1212</v>
      </c>
      <c r="D213" t="s">
        <v>1804</v>
      </c>
      <c r="E213" s="13">
        <v>129683.13</v>
      </c>
      <c r="F213">
        <v>1100</v>
      </c>
      <c r="G213" t="s">
        <v>1805</v>
      </c>
    </row>
    <row r="214" spans="1:7" x14ac:dyDescent="0.3">
      <c r="A214" s="8">
        <v>46089</v>
      </c>
      <c r="B214" t="s">
        <v>1806</v>
      </c>
      <c r="C214" t="s">
        <v>1216</v>
      </c>
      <c r="D214" t="s">
        <v>1807</v>
      </c>
      <c r="E214" s="13">
        <v>86615.4</v>
      </c>
      <c r="F214">
        <v>2000</v>
      </c>
      <c r="G214" t="s">
        <v>1808</v>
      </c>
    </row>
    <row r="215" spans="1:7" x14ac:dyDescent="0.3">
      <c r="A215" s="8">
        <v>46089</v>
      </c>
      <c r="B215" t="s">
        <v>1809</v>
      </c>
      <c r="C215" t="s">
        <v>1216</v>
      </c>
      <c r="D215" t="s">
        <v>1810</v>
      </c>
      <c r="E215" s="13">
        <v>56702.78</v>
      </c>
      <c r="F215">
        <v>2000</v>
      </c>
      <c r="G215" t="s">
        <v>1811</v>
      </c>
    </row>
    <row r="216" spans="1:7" x14ac:dyDescent="0.3">
      <c r="A216" s="8">
        <v>46090</v>
      </c>
      <c r="B216" t="s">
        <v>1812</v>
      </c>
      <c r="C216" t="s">
        <v>1238</v>
      </c>
      <c r="D216" t="s">
        <v>1813</v>
      </c>
      <c r="E216" s="13">
        <v>56783.22</v>
      </c>
      <c r="F216">
        <v>1100</v>
      </c>
      <c r="G216" t="s">
        <v>1814</v>
      </c>
    </row>
    <row r="217" spans="1:7" x14ac:dyDescent="0.3">
      <c r="A217" s="8">
        <v>46090</v>
      </c>
      <c r="B217" t="s">
        <v>1815</v>
      </c>
      <c r="C217" t="s">
        <v>1288</v>
      </c>
      <c r="D217" t="s">
        <v>1816</v>
      </c>
      <c r="E217" s="13">
        <v>160909.21</v>
      </c>
      <c r="F217">
        <v>9999</v>
      </c>
      <c r="G217" t="s">
        <v>1817</v>
      </c>
    </row>
    <row r="218" spans="1:7" x14ac:dyDescent="0.3">
      <c r="A218" s="8">
        <v>46090</v>
      </c>
      <c r="B218" t="s">
        <v>1818</v>
      </c>
      <c r="C218" t="s">
        <v>1234</v>
      </c>
      <c r="D218" t="s">
        <v>1426</v>
      </c>
      <c r="E218" s="13">
        <v>10516.84</v>
      </c>
      <c r="F218">
        <v>6700</v>
      </c>
      <c r="G218" t="s">
        <v>1819</v>
      </c>
    </row>
    <row r="219" spans="1:7" x14ac:dyDescent="0.3">
      <c r="A219" s="8">
        <v>46090</v>
      </c>
      <c r="B219" t="s">
        <v>1820</v>
      </c>
      <c r="C219" t="s">
        <v>1251</v>
      </c>
      <c r="D219" t="s">
        <v>1565</v>
      </c>
      <c r="E219" s="13">
        <v>-2826.79</v>
      </c>
      <c r="F219">
        <v>6300</v>
      </c>
      <c r="G219" t="s">
        <v>1821</v>
      </c>
    </row>
    <row r="220" spans="1:7" x14ac:dyDescent="0.3">
      <c r="A220" s="8">
        <v>46090</v>
      </c>
      <c r="B220" t="s">
        <v>1822</v>
      </c>
      <c r="C220" t="s">
        <v>1220</v>
      </c>
      <c r="D220" t="s">
        <v>1823</v>
      </c>
      <c r="E220" s="13">
        <v>41906.379999999997</v>
      </c>
      <c r="F220">
        <v>2000</v>
      </c>
      <c r="G220" t="s">
        <v>1824</v>
      </c>
    </row>
    <row r="221" spans="1:7" x14ac:dyDescent="0.3">
      <c r="A221" s="8">
        <v>46090</v>
      </c>
      <c r="B221" t="s">
        <v>1825</v>
      </c>
      <c r="C221" t="s">
        <v>1251</v>
      </c>
      <c r="D221" t="s">
        <v>1801</v>
      </c>
      <c r="E221" s="13">
        <v>14908.47</v>
      </c>
      <c r="F221">
        <v>6400</v>
      </c>
      <c r="G221" t="s">
        <v>1826</v>
      </c>
    </row>
    <row r="222" spans="1:7" x14ac:dyDescent="0.3">
      <c r="A222" s="8">
        <v>46091</v>
      </c>
      <c r="B222" t="s">
        <v>1827</v>
      </c>
      <c r="C222" t="s">
        <v>1238</v>
      </c>
      <c r="D222" t="s">
        <v>1828</v>
      </c>
      <c r="E222" s="13">
        <v>39852.089999999997</v>
      </c>
      <c r="F222">
        <v>6400</v>
      </c>
      <c r="G222" t="s">
        <v>1829</v>
      </c>
    </row>
    <row r="223" spans="1:7" x14ac:dyDescent="0.3">
      <c r="A223" s="8">
        <v>46091</v>
      </c>
      <c r="B223" t="s">
        <v>1830</v>
      </c>
      <c r="C223" t="s">
        <v>1212</v>
      </c>
      <c r="D223" t="s">
        <v>1831</v>
      </c>
      <c r="E223" s="13">
        <v>93565.56</v>
      </c>
      <c r="F223">
        <v>2000</v>
      </c>
      <c r="G223" t="s">
        <v>1832</v>
      </c>
    </row>
    <row r="224" spans="1:7" x14ac:dyDescent="0.3">
      <c r="A224" s="8">
        <v>46091</v>
      </c>
      <c r="B224" t="s">
        <v>1833</v>
      </c>
      <c r="C224" t="s">
        <v>1220</v>
      </c>
      <c r="D224" t="s">
        <v>1834</v>
      </c>
      <c r="E224" s="13">
        <v>110806.92</v>
      </c>
      <c r="F224">
        <v>2000</v>
      </c>
      <c r="G224" t="s">
        <v>1835</v>
      </c>
    </row>
    <row r="225" spans="1:7" x14ac:dyDescent="0.3">
      <c r="A225" s="8">
        <v>46092</v>
      </c>
      <c r="B225" t="s">
        <v>1836</v>
      </c>
      <c r="C225" t="s">
        <v>1216</v>
      </c>
      <c r="D225" t="s">
        <v>1837</v>
      </c>
      <c r="E225" s="13">
        <v>144300.41</v>
      </c>
      <c r="F225">
        <v>2000</v>
      </c>
      <c r="G225" t="s">
        <v>1838</v>
      </c>
    </row>
    <row r="226" spans="1:7" x14ac:dyDescent="0.3">
      <c r="A226" s="8">
        <v>46092</v>
      </c>
      <c r="B226" t="s">
        <v>1839</v>
      </c>
      <c r="C226" t="s">
        <v>1227</v>
      </c>
      <c r="D226" t="s">
        <v>1840</v>
      </c>
      <c r="E226" s="13">
        <v>121953.42</v>
      </c>
      <c r="F226">
        <v>1100</v>
      </c>
      <c r="G226" t="s">
        <v>1841</v>
      </c>
    </row>
    <row r="227" spans="1:7" x14ac:dyDescent="0.3">
      <c r="A227" s="8">
        <v>46092</v>
      </c>
      <c r="B227" t="s">
        <v>1842</v>
      </c>
      <c r="C227" t="s">
        <v>1238</v>
      </c>
      <c r="D227" t="s">
        <v>1843</v>
      </c>
      <c r="E227" s="13">
        <v>67081.570000000007</v>
      </c>
      <c r="F227">
        <v>2000</v>
      </c>
      <c r="G227" t="s">
        <v>1844</v>
      </c>
    </row>
    <row r="228" spans="1:7" x14ac:dyDescent="0.3">
      <c r="A228" s="8">
        <v>46092</v>
      </c>
      <c r="B228" t="s">
        <v>1845</v>
      </c>
      <c r="C228" t="s">
        <v>1238</v>
      </c>
      <c r="D228" t="s">
        <v>1318</v>
      </c>
      <c r="E228" s="13">
        <v>94339.92</v>
      </c>
      <c r="F228">
        <v>6100</v>
      </c>
      <c r="G228" t="s">
        <v>1846</v>
      </c>
    </row>
    <row r="229" spans="1:7" x14ac:dyDescent="0.3">
      <c r="A229" s="8">
        <v>46092</v>
      </c>
      <c r="B229" t="s">
        <v>1847</v>
      </c>
      <c r="C229" t="s">
        <v>1212</v>
      </c>
      <c r="D229" t="s">
        <v>1848</v>
      </c>
      <c r="E229" s="13">
        <v>186480.15</v>
      </c>
      <c r="F229">
        <v>1100</v>
      </c>
      <c r="G229" t="s">
        <v>1849</v>
      </c>
    </row>
    <row r="230" spans="1:7" x14ac:dyDescent="0.3">
      <c r="A230" s="8">
        <v>46092</v>
      </c>
      <c r="B230" t="s">
        <v>1850</v>
      </c>
      <c r="C230" t="s">
        <v>1201</v>
      </c>
      <c r="D230" t="s">
        <v>1851</v>
      </c>
      <c r="E230" s="13">
        <v>91512.89</v>
      </c>
      <c r="F230">
        <v>1100</v>
      </c>
      <c r="G230" t="s">
        <v>1852</v>
      </c>
    </row>
    <row r="231" spans="1:7" x14ac:dyDescent="0.3">
      <c r="A231" s="8">
        <v>46092</v>
      </c>
      <c r="B231" t="s">
        <v>1853</v>
      </c>
      <c r="C231" t="s">
        <v>1234</v>
      </c>
      <c r="D231" t="s">
        <v>1854</v>
      </c>
      <c r="E231" s="13">
        <v>161748.34</v>
      </c>
      <c r="F231">
        <v>1100</v>
      </c>
      <c r="G231" t="s">
        <v>1855</v>
      </c>
    </row>
    <row r="232" spans="1:7" x14ac:dyDescent="0.3">
      <c r="A232" s="8">
        <v>46093</v>
      </c>
      <c r="B232" t="s">
        <v>1856</v>
      </c>
      <c r="C232" t="s">
        <v>1208</v>
      </c>
      <c r="D232" t="s">
        <v>1624</v>
      </c>
      <c r="E232" s="13">
        <v>5983.78</v>
      </c>
      <c r="F232">
        <v>6800</v>
      </c>
      <c r="G232" t="s">
        <v>1857</v>
      </c>
    </row>
    <row r="233" spans="1:7" x14ac:dyDescent="0.3">
      <c r="A233" s="8">
        <v>46093</v>
      </c>
      <c r="B233" t="s">
        <v>1858</v>
      </c>
      <c r="C233" t="s">
        <v>1234</v>
      </c>
      <c r="D233" t="s">
        <v>1426</v>
      </c>
      <c r="E233" s="13">
        <v>18625.060000000001</v>
      </c>
      <c r="F233">
        <v>6700</v>
      </c>
      <c r="G233" t="s">
        <v>1859</v>
      </c>
    </row>
    <row r="234" spans="1:7" x14ac:dyDescent="0.3">
      <c r="A234" s="8">
        <v>46093</v>
      </c>
      <c r="B234" t="s">
        <v>1860</v>
      </c>
      <c r="C234" t="s">
        <v>1227</v>
      </c>
      <c r="D234" t="s">
        <v>1861</v>
      </c>
      <c r="E234" s="13">
        <v>1895.43</v>
      </c>
      <c r="F234">
        <v>1100</v>
      </c>
      <c r="G234" t="s">
        <v>1862</v>
      </c>
    </row>
    <row r="235" spans="1:7" x14ac:dyDescent="0.3">
      <c r="A235" s="8">
        <v>46094</v>
      </c>
      <c r="B235" t="s">
        <v>1863</v>
      </c>
      <c r="C235" t="s">
        <v>1212</v>
      </c>
      <c r="D235" t="s">
        <v>1213</v>
      </c>
      <c r="E235" s="13">
        <v>74305.69</v>
      </c>
      <c r="F235">
        <v>6100</v>
      </c>
      <c r="G235" t="s">
        <v>1864</v>
      </c>
    </row>
    <row r="236" spans="1:7" x14ac:dyDescent="0.3">
      <c r="A236" s="8">
        <v>46094</v>
      </c>
      <c r="B236" t="s">
        <v>1865</v>
      </c>
      <c r="C236" t="s">
        <v>1216</v>
      </c>
      <c r="D236" t="s">
        <v>1866</v>
      </c>
      <c r="E236" s="13">
        <v>49617.43</v>
      </c>
      <c r="F236">
        <v>1100</v>
      </c>
      <c r="G236" t="s">
        <v>1867</v>
      </c>
    </row>
    <row r="237" spans="1:7" x14ac:dyDescent="0.3">
      <c r="A237" s="8">
        <v>46094</v>
      </c>
      <c r="B237" t="s">
        <v>1868</v>
      </c>
      <c r="C237" t="s">
        <v>1288</v>
      </c>
      <c r="D237" t="s">
        <v>1540</v>
      </c>
      <c r="E237" s="13">
        <v>26538.89</v>
      </c>
      <c r="F237">
        <v>6700</v>
      </c>
      <c r="G237" t="s">
        <v>1869</v>
      </c>
    </row>
    <row r="238" spans="1:7" x14ac:dyDescent="0.3">
      <c r="A238" s="8">
        <v>46095</v>
      </c>
      <c r="B238" t="s">
        <v>1870</v>
      </c>
      <c r="C238" t="s">
        <v>1234</v>
      </c>
      <c r="D238" t="s">
        <v>1245</v>
      </c>
      <c r="E238" s="13">
        <v>69626.62</v>
      </c>
      <c r="F238">
        <v>6100</v>
      </c>
      <c r="G238" t="s">
        <v>1871</v>
      </c>
    </row>
    <row r="239" spans="1:7" x14ac:dyDescent="0.3">
      <c r="A239" s="8">
        <v>46096</v>
      </c>
      <c r="B239" t="s">
        <v>1872</v>
      </c>
      <c r="C239" t="s">
        <v>1234</v>
      </c>
      <c r="D239" t="s">
        <v>1873</v>
      </c>
      <c r="E239" s="13">
        <v>124395.72</v>
      </c>
      <c r="F239">
        <v>1100</v>
      </c>
      <c r="G239" t="s">
        <v>1874</v>
      </c>
    </row>
    <row r="240" spans="1:7" x14ac:dyDescent="0.3">
      <c r="A240" s="8">
        <v>46096</v>
      </c>
      <c r="B240" t="s">
        <v>1875</v>
      </c>
      <c r="C240" t="s">
        <v>1208</v>
      </c>
      <c r="D240" t="s">
        <v>1876</v>
      </c>
      <c r="E240" s="13">
        <v>20392.88</v>
      </c>
      <c r="F240">
        <v>2000</v>
      </c>
      <c r="G240" t="s">
        <v>1877</v>
      </c>
    </row>
    <row r="241" spans="1:7" x14ac:dyDescent="0.3">
      <c r="A241" s="8">
        <v>46097</v>
      </c>
      <c r="B241" t="s">
        <v>1878</v>
      </c>
      <c r="C241" t="s">
        <v>1216</v>
      </c>
      <c r="D241" t="s">
        <v>1217</v>
      </c>
      <c r="E241" s="13">
        <v>4996.8500000000004</v>
      </c>
      <c r="F241">
        <v>6300</v>
      </c>
      <c r="G241" t="s">
        <v>1879</v>
      </c>
    </row>
    <row r="242" spans="1:7" x14ac:dyDescent="0.3">
      <c r="A242" t="s">
        <v>1880</v>
      </c>
      <c r="B242" t="s">
        <v>1881</v>
      </c>
      <c r="C242" t="s">
        <v>1238</v>
      </c>
      <c r="D242" t="s">
        <v>1882</v>
      </c>
      <c r="E242" s="13">
        <v>20412.86</v>
      </c>
      <c r="F242">
        <v>2000</v>
      </c>
      <c r="G242" t="s">
        <v>1883</v>
      </c>
    </row>
    <row r="243" spans="1:7" x14ac:dyDescent="0.3">
      <c r="A243" s="8">
        <v>46098</v>
      </c>
      <c r="B243" t="s">
        <v>1884</v>
      </c>
      <c r="C243" t="s">
        <v>1227</v>
      </c>
      <c r="D243" t="s">
        <v>1885</v>
      </c>
      <c r="E243" s="13">
        <v>103058.05</v>
      </c>
      <c r="F243">
        <v>2000</v>
      </c>
      <c r="G243" t="s">
        <v>1886</v>
      </c>
    </row>
    <row r="244" spans="1:7" x14ac:dyDescent="0.3">
      <c r="A244" s="8">
        <v>46098</v>
      </c>
      <c r="B244" t="s">
        <v>1887</v>
      </c>
      <c r="C244" t="s">
        <v>1208</v>
      </c>
      <c r="D244" t="s">
        <v>1624</v>
      </c>
      <c r="E244" s="13">
        <v>20358.259999999998</v>
      </c>
      <c r="F244">
        <v>6700</v>
      </c>
      <c r="G244" t="s">
        <v>1888</v>
      </c>
    </row>
    <row r="245" spans="1:7" x14ac:dyDescent="0.3">
      <c r="A245" s="8">
        <v>46099</v>
      </c>
      <c r="B245" t="s">
        <v>1889</v>
      </c>
      <c r="C245" t="s">
        <v>1251</v>
      </c>
      <c r="D245" t="s">
        <v>1890</v>
      </c>
      <c r="E245" s="13">
        <v>63050.39</v>
      </c>
      <c r="F245">
        <v>2000</v>
      </c>
      <c r="G245" t="s">
        <v>1891</v>
      </c>
    </row>
    <row r="246" spans="1:7" x14ac:dyDescent="0.3">
      <c r="A246" s="8">
        <v>46099</v>
      </c>
      <c r="B246" t="s">
        <v>1892</v>
      </c>
      <c r="C246" t="s">
        <v>1251</v>
      </c>
      <c r="D246" t="s">
        <v>1387</v>
      </c>
      <c r="E246" s="13">
        <v>44364.04</v>
      </c>
      <c r="F246">
        <v>6700</v>
      </c>
      <c r="G246" t="s">
        <v>1893</v>
      </c>
    </row>
    <row r="247" spans="1:7" x14ac:dyDescent="0.3">
      <c r="A247" s="8">
        <v>46099</v>
      </c>
      <c r="B247" t="s">
        <v>1894</v>
      </c>
      <c r="C247" t="s">
        <v>1220</v>
      </c>
      <c r="D247" t="s">
        <v>1895</v>
      </c>
      <c r="E247" s="13">
        <v>174761.61</v>
      </c>
      <c r="F247">
        <v>1100</v>
      </c>
      <c r="G247" t="s">
        <v>1896</v>
      </c>
    </row>
    <row r="248" spans="1:7" x14ac:dyDescent="0.3">
      <c r="A248" s="8">
        <v>46100</v>
      </c>
      <c r="B248" t="s">
        <v>1897</v>
      </c>
      <c r="C248" t="s">
        <v>1238</v>
      </c>
      <c r="D248" t="s">
        <v>1898</v>
      </c>
      <c r="E248" s="13">
        <v>134.53</v>
      </c>
      <c r="F248">
        <v>2000</v>
      </c>
      <c r="G248" t="s">
        <v>1899</v>
      </c>
    </row>
    <row r="249" spans="1:7" x14ac:dyDescent="0.3">
      <c r="A249" s="8">
        <v>46100</v>
      </c>
      <c r="B249" t="s">
        <v>1900</v>
      </c>
      <c r="C249" t="s">
        <v>1227</v>
      </c>
      <c r="D249" t="s">
        <v>1901</v>
      </c>
      <c r="E249" s="13">
        <v>122101.14</v>
      </c>
      <c r="F249">
        <v>1100</v>
      </c>
      <c r="G249" t="s">
        <v>1902</v>
      </c>
    </row>
    <row r="250" spans="1:7" x14ac:dyDescent="0.3">
      <c r="A250" s="8">
        <v>46101</v>
      </c>
      <c r="B250" t="s">
        <v>1903</v>
      </c>
      <c r="C250" t="s">
        <v>1251</v>
      </c>
      <c r="D250" t="s">
        <v>1904</v>
      </c>
      <c r="E250" s="13">
        <v>6665.55</v>
      </c>
      <c r="F250">
        <v>1100</v>
      </c>
      <c r="G250" t="s">
        <v>1905</v>
      </c>
    </row>
    <row r="251" spans="1:7" x14ac:dyDescent="0.3">
      <c r="A251" s="8">
        <v>46101</v>
      </c>
      <c r="B251" t="s">
        <v>1906</v>
      </c>
      <c r="C251" t="s">
        <v>1220</v>
      </c>
      <c r="D251" t="s">
        <v>1907</v>
      </c>
      <c r="E251" s="13">
        <v>52069.19</v>
      </c>
      <c r="F251">
        <v>1100</v>
      </c>
      <c r="G251" t="s">
        <v>1908</v>
      </c>
    </row>
    <row r="252" spans="1:7" x14ac:dyDescent="0.3">
      <c r="A252" s="8">
        <v>46101</v>
      </c>
      <c r="B252" t="s">
        <v>1909</v>
      </c>
      <c r="C252" t="s">
        <v>1238</v>
      </c>
      <c r="D252" t="s">
        <v>1910</v>
      </c>
      <c r="E252" s="13">
        <v>28236.25</v>
      </c>
      <c r="F252">
        <v>2000</v>
      </c>
      <c r="G252" t="s">
        <v>1911</v>
      </c>
    </row>
    <row r="253" spans="1:7" x14ac:dyDescent="0.3">
      <c r="A253" s="8">
        <v>46102</v>
      </c>
      <c r="B253" t="s">
        <v>1912</v>
      </c>
      <c r="C253" t="s">
        <v>1220</v>
      </c>
      <c r="D253" t="s">
        <v>1255</v>
      </c>
      <c r="E253" s="13">
        <v>-520.95000000000005</v>
      </c>
      <c r="F253">
        <v>4000</v>
      </c>
      <c r="G253" t="s">
        <v>1913</v>
      </c>
    </row>
    <row r="254" spans="1:7" x14ac:dyDescent="0.3">
      <c r="A254" s="8">
        <v>46102</v>
      </c>
      <c r="B254" t="s">
        <v>1914</v>
      </c>
      <c r="C254" t="s">
        <v>1201</v>
      </c>
      <c r="D254" t="s">
        <v>1915</v>
      </c>
      <c r="E254" s="13">
        <v>71084.52</v>
      </c>
      <c r="F254">
        <v>1100</v>
      </c>
      <c r="G254" t="s">
        <v>1916</v>
      </c>
    </row>
    <row r="255" spans="1:7" x14ac:dyDescent="0.3">
      <c r="A255" s="8">
        <v>46102</v>
      </c>
      <c r="B255" t="s">
        <v>1917</v>
      </c>
      <c r="C255" t="s">
        <v>1216</v>
      </c>
      <c r="D255" t="s">
        <v>1918</v>
      </c>
      <c r="E255" s="13">
        <v>1211.3</v>
      </c>
      <c r="F255">
        <v>2000</v>
      </c>
      <c r="G255" t="s">
        <v>1919</v>
      </c>
    </row>
    <row r="256" spans="1:7" x14ac:dyDescent="0.3">
      <c r="A256" s="8">
        <v>46102</v>
      </c>
      <c r="B256" t="s">
        <v>1920</v>
      </c>
      <c r="C256" t="s">
        <v>1227</v>
      </c>
      <c r="D256" t="s">
        <v>1343</v>
      </c>
      <c r="E256" s="13">
        <v>24749.439999999999</v>
      </c>
      <c r="F256">
        <v>6100</v>
      </c>
      <c r="G256" t="s">
        <v>1921</v>
      </c>
    </row>
    <row r="257" spans="1:7" x14ac:dyDescent="0.3">
      <c r="A257" s="8">
        <v>46102</v>
      </c>
      <c r="B257" t="s">
        <v>1922</v>
      </c>
      <c r="C257" t="s">
        <v>1251</v>
      </c>
      <c r="D257" t="s">
        <v>1923</v>
      </c>
      <c r="E257" s="13">
        <v>166655.1</v>
      </c>
      <c r="F257">
        <v>1100</v>
      </c>
      <c r="G257" t="s">
        <v>1924</v>
      </c>
    </row>
    <row r="258" spans="1:7" x14ac:dyDescent="0.3">
      <c r="A258" s="8">
        <v>46103</v>
      </c>
      <c r="B258" t="s">
        <v>1925</v>
      </c>
      <c r="C258" t="s">
        <v>1234</v>
      </c>
      <c r="D258" t="s">
        <v>1926</v>
      </c>
      <c r="E258" s="13">
        <v>43605.78</v>
      </c>
      <c r="F258">
        <v>6300</v>
      </c>
      <c r="G258" t="s">
        <v>1927</v>
      </c>
    </row>
    <row r="259" spans="1:7" x14ac:dyDescent="0.3">
      <c r="A259" s="8">
        <v>46103</v>
      </c>
      <c r="B259" t="s">
        <v>1928</v>
      </c>
      <c r="C259" t="s">
        <v>1201</v>
      </c>
      <c r="D259" t="s">
        <v>1568</v>
      </c>
      <c r="E259" s="13">
        <v>30453.040000000001</v>
      </c>
      <c r="F259">
        <v>6700</v>
      </c>
      <c r="G259" t="s">
        <v>1929</v>
      </c>
    </row>
    <row r="260" spans="1:7" x14ac:dyDescent="0.3">
      <c r="A260" s="8">
        <v>46103</v>
      </c>
      <c r="B260" t="s">
        <v>1930</v>
      </c>
      <c r="C260" t="s">
        <v>1201</v>
      </c>
      <c r="D260" t="s">
        <v>1931</v>
      </c>
      <c r="E260" s="13">
        <v>144672.16</v>
      </c>
      <c r="F260">
        <v>2000</v>
      </c>
      <c r="G260" t="s">
        <v>1932</v>
      </c>
    </row>
    <row r="261" spans="1:7" x14ac:dyDescent="0.3">
      <c r="A261" s="8">
        <v>46103</v>
      </c>
      <c r="B261" t="s">
        <v>1933</v>
      </c>
      <c r="C261" t="s">
        <v>1216</v>
      </c>
      <c r="D261" t="s">
        <v>1934</v>
      </c>
      <c r="E261" s="13">
        <v>174713.56</v>
      </c>
      <c r="F261">
        <v>1100</v>
      </c>
      <c r="G261" t="s">
        <v>1935</v>
      </c>
    </row>
    <row r="262" spans="1:7" x14ac:dyDescent="0.3">
      <c r="A262" s="8">
        <v>46104</v>
      </c>
      <c r="B262" t="s">
        <v>1936</v>
      </c>
      <c r="C262" t="s">
        <v>1212</v>
      </c>
      <c r="D262" t="s">
        <v>1444</v>
      </c>
      <c r="E262" s="13">
        <v>5078.09</v>
      </c>
      <c r="F262">
        <v>6700</v>
      </c>
    </row>
    <row r="263" spans="1:7" x14ac:dyDescent="0.3">
      <c r="A263" s="8">
        <v>46104</v>
      </c>
      <c r="B263" t="s">
        <v>1937</v>
      </c>
      <c r="C263" t="s">
        <v>1220</v>
      </c>
      <c r="D263" t="s">
        <v>1938</v>
      </c>
      <c r="E263" s="13">
        <v>180832.46</v>
      </c>
      <c r="F263">
        <v>1100</v>
      </c>
      <c r="G263" t="s">
        <v>1939</v>
      </c>
    </row>
    <row r="264" spans="1:7" x14ac:dyDescent="0.3">
      <c r="A264" s="8">
        <v>46104</v>
      </c>
      <c r="B264" t="s">
        <v>1940</v>
      </c>
      <c r="C264" t="s">
        <v>1201</v>
      </c>
      <c r="D264" t="s">
        <v>1941</v>
      </c>
      <c r="E264" s="13">
        <v>177163.2</v>
      </c>
      <c r="F264">
        <v>1100</v>
      </c>
      <c r="G264" t="s">
        <v>1942</v>
      </c>
    </row>
    <row r="265" spans="1:7" x14ac:dyDescent="0.3">
      <c r="A265" s="8">
        <v>46105</v>
      </c>
      <c r="B265" t="s">
        <v>1943</v>
      </c>
      <c r="C265" t="s">
        <v>1216</v>
      </c>
      <c r="D265" t="s">
        <v>1944</v>
      </c>
      <c r="E265" s="13">
        <v>16629.57</v>
      </c>
      <c r="F265">
        <v>1100</v>
      </c>
      <c r="G265" t="s">
        <v>1945</v>
      </c>
    </row>
    <row r="266" spans="1:7" x14ac:dyDescent="0.3">
      <c r="A266" s="8">
        <v>46105</v>
      </c>
      <c r="B266" t="s">
        <v>1946</v>
      </c>
      <c r="C266" t="s">
        <v>1251</v>
      </c>
      <c r="D266" t="s">
        <v>1321</v>
      </c>
      <c r="E266" s="13">
        <v>5422.56</v>
      </c>
      <c r="F266">
        <v>6800</v>
      </c>
      <c r="G266" t="s">
        <v>1947</v>
      </c>
    </row>
    <row r="267" spans="1:7" x14ac:dyDescent="0.3">
      <c r="A267" s="8">
        <v>46105</v>
      </c>
      <c r="B267" t="s">
        <v>1948</v>
      </c>
      <c r="C267" t="s">
        <v>1238</v>
      </c>
      <c r="D267" t="s">
        <v>1949</v>
      </c>
      <c r="E267" s="13">
        <v>14619.59</v>
      </c>
      <c r="F267">
        <v>6200</v>
      </c>
      <c r="G267" t="s">
        <v>1950</v>
      </c>
    </row>
    <row r="268" spans="1:7" x14ac:dyDescent="0.3">
      <c r="A268" s="8">
        <v>46105</v>
      </c>
      <c r="B268" t="s">
        <v>1951</v>
      </c>
      <c r="C268" t="s">
        <v>1201</v>
      </c>
      <c r="D268" t="s">
        <v>1952</v>
      </c>
      <c r="E268" s="13">
        <v>48354.34</v>
      </c>
      <c r="F268">
        <v>2000</v>
      </c>
      <c r="G268" t="s">
        <v>1953</v>
      </c>
    </row>
    <row r="269" spans="1:7" x14ac:dyDescent="0.3">
      <c r="A269" s="8">
        <v>46105</v>
      </c>
      <c r="B269" t="s">
        <v>1954</v>
      </c>
      <c r="C269" t="s">
        <v>1201</v>
      </c>
      <c r="D269" t="s">
        <v>1608</v>
      </c>
      <c r="E269" s="13">
        <v>-1007.9</v>
      </c>
      <c r="F269">
        <v>6800</v>
      </c>
      <c r="G269" t="s">
        <v>1955</v>
      </c>
    </row>
    <row r="270" spans="1:7" x14ac:dyDescent="0.3">
      <c r="A270" s="8">
        <v>46106</v>
      </c>
      <c r="B270" t="s">
        <v>1956</v>
      </c>
      <c r="C270" t="s">
        <v>1216</v>
      </c>
      <c r="D270" t="s">
        <v>1957</v>
      </c>
      <c r="E270" s="13">
        <v>34392.620000000003</v>
      </c>
      <c r="F270">
        <v>6800</v>
      </c>
      <c r="G270" t="s">
        <v>1958</v>
      </c>
    </row>
    <row r="271" spans="1:7" x14ac:dyDescent="0.3">
      <c r="A271" s="8">
        <v>46106</v>
      </c>
      <c r="B271" t="s">
        <v>1959</v>
      </c>
      <c r="C271" t="s">
        <v>1288</v>
      </c>
      <c r="D271" t="s">
        <v>1960</v>
      </c>
      <c r="E271" s="13">
        <v>181783.1</v>
      </c>
      <c r="F271">
        <v>1100</v>
      </c>
      <c r="G271" t="s">
        <v>1961</v>
      </c>
    </row>
    <row r="272" spans="1:7" x14ac:dyDescent="0.3">
      <c r="A272" s="8">
        <v>46106</v>
      </c>
      <c r="B272" t="s">
        <v>1962</v>
      </c>
      <c r="C272" t="s">
        <v>1234</v>
      </c>
      <c r="D272" t="s">
        <v>1963</v>
      </c>
      <c r="E272" s="13">
        <v>96475.34</v>
      </c>
      <c r="F272">
        <v>2000</v>
      </c>
      <c r="G272" t="s">
        <v>1964</v>
      </c>
    </row>
    <row r="273" spans="1:7" x14ac:dyDescent="0.3">
      <c r="A273" s="8">
        <v>46106</v>
      </c>
      <c r="B273" t="s">
        <v>1965</v>
      </c>
      <c r="C273" t="s">
        <v>1212</v>
      </c>
      <c r="D273" t="s">
        <v>1966</v>
      </c>
      <c r="E273" s="13">
        <v>158683.63</v>
      </c>
      <c r="F273">
        <v>1100</v>
      </c>
      <c r="G273" t="s">
        <v>1967</v>
      </c>
    </row>
    <row r="274" spans="1:7" x14ac:dyDescent="0.3">
      <c r="A274" s="8">
        <v>46107</v>
      </c>
      <c r="B274" t="s">
        <v>1968</v>
      </c>
      <c r="C274" t="s">
        <v>1208</v>
      </c>
      <c r="D274" t="s">
        <v>1969</v>
      </c>
      <c r="E274" s="13">
        <v>65047.45</v>
      </c>
      <c r="F274">
        <v>2000</v>
      </c>
      <c r="G274" t="s">
        <v>1970</v>
      </c>
    </row>
    <row r="275" spans="1:7" x14ac:dyDescent="0.3">
      <c r="A275" s="8">
        <v>46107</v>
      </c>
      <c r="B275" t="s">
        <v>1971</v>
      </c>
      <c r="C275" t="s">
        <v>1227</v>
      </c>
      <c r="D275" t="s">
        <v>1972</v>
      </c>
      <c r="E275" s="13">
        <v>130857.27</v>
      </c>
      <c r="F275">
        <v>2000</v>
      </c>
      <c r="G275" t="s">
        <v>1973</v>
      </c>
    </row>
    <row r="276" spans="1:7" x14ac:dyDescent="0.3">
      <c r="A276" s="8">
        <v>46107</v>
      </c>
      <c r="B276" t="s">
        <v>1974</v>
      </c>
      <c r="C276" t="s">
        <v>1234</v>
      </c>
      <c r="D276" t="s">
        <v>1426</v>
      </c>
      <c r="E276" s="13">
        <v>19630.38</v>
      </c>
      <c r="F276">
        <v>6800</v>
      </c>
      <c r="G276" t="s">
        <v>1975</v>
      </c>
    </row>
    <row r="277" spans="1:7" x14ac:dyDescent="0.3">
      <c r="A277" s="8">
        <v>46107</v>
      </c>
      <c r="B277" t="s">
        <v>1976</v>
      </c>
      <c r="C277" t="s">
        <v>1288</v>
      </c>
      <c r="D277" t="s">
        <v>1977</v>
      </c>
      <c r="E277" s="13">
        <v>130647.71</v>
      </c>
      <c r="F277">
        <v>9999</v>
      </c>
      <c r="G277" t="s">
        <v>1978</v>
      </c>
    </row>
    <row r="278" spans="1:7" x14ac:dyDescent="0.3">
      <c r="A278" s="8">
        <v>46108</v>
      </c>
      <c r="B278" t="s">
        <v>1979</v>
      </c>
      <c r="C278" t="s">
        <v>1227</v>
      </c>
      <c r="D278" t="s">
        <v>1980</v>
      </c>
      <c r="E278" s="13">
        <v>90766.35</v>
      </c>
      <c r="F278">
        <v>1100</v>
      </c>
      <c r="G278" t="s">
        <v>1981</v>
      </c>
    </row>
    <row r="279" spans="1:7" x14ac:dyDescent="0.3">
      <c r="A279" s="8">
        <v>46108</v>
      </c>
      <c r="B279" t="s">
        <v>1982</v>
      </c>
      <c r="C279" t="s">
        <v>1238</v>
      </c>
      <c r="D279" t="s">
        <v>1898</v>
      </c>
      <c r="E279" s="13">
        <v>3513.92</v>
      </c>
      <c r="F279">
        <v>6800</v>
      </c>
      <c r="G279" t="s">
        <v>1983</v>
      </c>
    </row>
    <row r="280" spans="1:7" x14ac:dyDescent="0.3">
      <c r="A280" s="8">
        <v>46109</v>
      </c>
      <c r="B280" t="s">
        <v>1984</v>
      </c>
      <c r="C280" t="s">
        <v>1227</v>
      </c>
      <c r="D280" t="s">
        <v>1985</v>
      </c>
      <c r="E280" s="13">
        <v>121088.43</v>
      </c>
      <c r="F280">
        <v>1100</v>
      </c>
      <c r="G280" t="s">
        <v>1986</v>
      </c>
    </row>
    <row r="281" spans="1:7" x14ac:dyDescent="0.3">
      <c r="A281" s="8">
        <v>46109</v>
      </c>
      <c r="B281" t="s">
        <v>1987</v>
      </c>
      <c r="C281" t="s">
        <v>1208</v>
      </c>
      <c r="D281" t="s">
        <v>1369</v>
      </c>
      <c r="E281" s="13">
        <v>10431.58</v>
      </c>
      <c r="F281">
        <v>6800</v>
      </c>
      <c r="G281" t="s">
        <v>1988</v>
      </c>
    </row>
    <row r="282" spans="1:7" x14ac:dyDescent="0.3">
      <c r="A282" s="8">
        <v>46109</v>
      </c>
      <c r="B282" t="s">
        <v>1989</v>
      </c>
      <c r="C282" t="s">
        <v>1216</v>
      </c>
      <c r="D282" t="s">
        <v>1990</v>
      </c>
      <c r="E282" s="13">
        <v>118178.77</v>
      </c>
      <c r="F282">
        <v>2000</v>
      </c>
      <c r="G282" t="s">
        <v>1991</v>
      </c>
    </row>
    <row r="283" spans="1:7" x14ac:dyDescent="0.3">
      <c r="A283" s="8">
        <v>46109</v>
      </c>
      <c r="B283" t="s">
        <v>1992</v>
      </c>
      <c r="C283" t="s">
        <v>1238</v>
      </c>
      <c r="D283" t="s">
        <v>1993</v>
      </c>
      <c r="E283" s="13">
        <v>167531.82</v>
      </c>
      <c r="F283">
        <v>1100</v>
      </c>
      <c r="G283" t="s">
        <v>1994</v>
      </c>
    </row>
    <row r="284" spans="1:7" x14ac:dyDescent="0.3">
      <c r="A284" s="8">
        <v>46110</v>
      </c>
      <c r="B284" t="s">
        <v>1995</v>
      </c>
      <c r="C284" t="s">
        <v>1251</v>
      </c>
      <c r="D284" t="s">
        <v>1996</v>
      </c>
      <c r="E284" s="13">
        <v>55298.13</v>
      </c>
      <c r="F284">
        <v>2000</v>
      </c>
      <c r="G284" t="s">
        <v>1997</v>
      </c>
    </row>
    <row r="285" spans="1:7" x14ac:dyDescent="0.3">
      <c r="A285" s="8">
        <v>46110</v>
      </c>
      <c r="B285" t="s">
        <v>1998</v>
      </c>
      <c r="C285" t="s">
        <v>1208</v>
      </c>
      <c r="D285" t="s">
        <v>1282</v>
      </c>
      <c r="E285" s="13">
        <v>33353.82</v>
      </c>
      <c r="F285">
        <v>6700</v>
      </c>
      <c r="G285" t="s">
        <v>1999</v>
      </c>
    </row>
    <row r="286" spans="1:7" x14ac:dyDescent="0.3">
      <c r="A286" s="8">
        <v>46110</v>
      </c>
      <c r="B286" t="s">
        <v>2000</v>
      </c>
      <c r="C286" t="s">
        <v>1208</v>
      </c>
      <c r="D286" t="s">
        <v>2001</v>
      </c>
      <c r="E286" s="13">
        <v>204.62</v>
      </c>
      <c r="F286">
        <v>1100</v>
      </c>
      <c r="G286" t="s">
        <v>2002</v>
      </c>
    </row>
    <row r="287" spans="1:7" x14ac:dyDescent="0.3">
      <c r="A287" s="8">
        <v>46110</v>
      </c>
      <c r="B287" t="s">
        <v>2003</v>
      </c>
      <c r="C287" t="s">
        <v>1288</v>
      </c>
      <c r="D287" t="s">
        <v>1540</v>
      </c>
      <c r="E287" s="13">
        <v>16364.45</v>
      </c>
      <c r="F287">
        <v>6300</v>
      </c>
      <c r="G287" t="s">
        <v>2004</v>
      </c>
    </row>
    <row r="288" spans="1:7" x14ac:dyDescent="0.3">
      <c r="A288" s="8">
        <v>46110</v>
      </c>
      <c r="B288" t="s">
        <v>2005</v>
      </c>
      <c r="C288" t="s">
        <v>1208</v>
      </c>
      <c r="D288" t="s">
        <v>2006</v>
      </c>
      <c r="E288" s="13">
        <v>129614.58</v>
      </c>
      <c r="F288">
        <v>2000</v>
      </c>
      <c r="G288" t="s">
        <v>2007</v>
      </c>
    </row>
    <row r="289" spans="1:7" x14ac:dyDescent="0.3">
      <c r="A289" s="8">
        <v>46110</v>
      </c>
      <c r="B289" t="s">
        <v>2008</v>
      </c>
      <c r="C289" t="s">
        <v>1212</v>
      </c>
      <c r="D289" t="s">
        <v>2009</v>
      </c>
      <c r="E289" s="13">
        <v>106377.85</v>
      </c>
      <c r="F289">
        <v>2000</v>
      </c>
      <c r="G289" t="s">
        <v>2010</v>
      </c>
    </row>
    <row r="290" spans="1:7" x14ac:dyDescent="0.3">
      <c r="A290" s="8">
        <v>46111</v>
      </c>
      <c r="B290" t="s">
        <v>2011</v>
      </c>
      <c r="C290" t="s">
        <v>1216</v>
      </c>
      <c r="D290" t="s">
        <v>1957</v>
      </c>
      <c r="E290" s="13">
        <v>28047.52</v>
      </c>
      <c r="F290">
        <v>6300</v>
      </c>
      <c r="G290" t="s">
        <v>2012</v>
      </c>
    </row>
    <row r="291" spans="1:7" x14ac:dyDescent="0.3">
      <c r="A291" s="8">
        <v>46111</v>
      </c>
      <c r="B291" t="s">
        <v>2013</v>
      </c>
      <c r="C291" t="s">
        <v>1216</v>
      </c>
      <c r="D291" t="s">
        <v>2014</v>
      </c>
      <c r="E291" s="13">
        <v>167072.1</v>
      </c>
      <c r="F291">
        <v>1100</v>
      </c>
      <c r="G291" t="s">
        <v>2015</v>
      </c>
    </row>
    <row r="292" spans="1:7" x14ac:dyDescent="0.3">
      <c r="A292" s="8">
        <v>46111</v>
      </c>
      <c r="B292" t="s">
        <v>2016</v>
      </c>
      <c r="C292" t="s">
        <v>1201</v>
      </c>
      <c r="D292" t="s">
        <v>1400</v>
      </c>
      <c r="E292" s="13">
        <v>62517.82</v>
      </c>
      <c r="F292">
        <v>6100</v>
      </c>
      <c r="G292" t="s">
        <v>2017</v>
      </c>
    </row>
    <row r="293" spans="1:7" x14ac:dyDescent="0.3">
      <c r="A293" s="8">
        <v>46111</v>
      </c>
      <c r="B293" t="s">
        <v>2018</v>
      </c>
      <c r="C293" t="s">
        <v>1201</v>
      </c>
      <c r="D293" t="s">
        <v>2019</v>
      </c>
      <c r="E293" s="13">
        <v>105306.54</v>
      </c>
      <c r="F293">
        <v>2000</v>
      </c>
      <c r="G293" t="s">
        <v>2020</v>
      </c>
    </row>
    <row r="294" spans="1:7" x14ac:dyDescent="0.3">
      <c r="A294" s="8">
        <v>46112</v>
      </c>
      <c r="B294" t="s">
        <v>2021</v>
      </c>
      <c r="C294" t="s">
        <v>1288</v>
      </c>
      <c r="D294" t="s">
        <v>2022</v>
      </c>
      <c r="E294" s="13">
        <v>2261.8200000000002</v>
      </c>
      <c r="F294">
        <v>1100</v>
      </c>
      <c r="G294" t="s">
        <v>2023</v>
      </c>
    </row>
    <row r="295" spans="1:7" x14ac:dyDescent="0.3">
      <c r="A295" s="8">
        <v>46112</v>
      </c>
      <c r="B295" t="s">
        <v>2024</v>
      </c>
      <c r="C295" t="s">
        <v>1201</v>
      </c>
      <c r="D295" t="s">
        <v>2025</v>
      </c>
      <c r="E295" s="13">
        <v>53249.120000000003</v>
      </c>
      <c r="F295">
        <v>1100</v>
      </c>
      <c r="G295" t="s">
        <v>2026</v>
      </c>
    </row>
    <row r="296" spans="1:7" x14ac:dyDescent="0.3">
      <c r="A296" s="8">
        <v>46112</v>
      </c>
      <c r="B296" t="s">
        <v>2027</v>
      </c>
      <c r="C296" t="s">
        <v>1251</v>
      </c>
      <c r="D296" t="s">
        <v>2028</v>
      </c>
      <c r="E296" s="13">
        <v>96481.21</v>
      </c>
      <c r="F296">
        <v>2000</v>
      </c>
      <c r="G296" t="s">
        <v>2029</v>
      </c>
    </row>
    <row r="297" spans="1:7" x14ac:dyDescent="0.3">
      <c r="A297" s="8">
        <v>46112</v>
      </c>
      <c r="B297" t="s">
        <v>2030</v>
      </c>
      <c r="C297" t="s">
        <v>1251</v>
      </c>
      <c r="D297" t="s">
        <v>1335</v>
      </c>
      <c r="E297" s="13">
        <v>30005.26</v>
      </c>
      <c r="F297">
        <v>6000</v>
      </c>
      <c r="G297" t="s">
        <v>2031</v>
      </c>
    </row>
    <row r="298" spans="1:7" x14ac:dyDescent="0.3">
      <c r="A298" s="8">
        <v>46112</v>
      </c>
      <c r="B298" t="s">
        <v>2032</v>
      </c>
      <c r="C298" t="s">
        <v>1227</v>
      </c>
      <c r="D298" t="s">
        <v>2033</v>
      </c>
      <c r="E298" s="13">
        <v>2039.87</v>
      </c>
      <c r="F298">
        <v>2000</v>
      </c>
      <c r="G298" t="s">
        <v>2034</v>
      </c>
    </row>
    <row r="299" spans="1:7" x14ac:dyDescent="0.3">
      <c r="A299" s="8">
        <v>46113</v>
      </c>
      <c r="B299" t="s">
        <v>2035</v>
      </c>
      <c r="C299" t="s">
        <v>1201</v>
      </c>
      <c r="D299" t="s">
        <v>2036</v>
      </c>
      <c r="E299" s="13">
        <v>95151.82</v>
      </c>
      <c r="F299">
        <v>1100</v>
      </c>
      <c r="G299" t="s">
        <v>2037</v>
      </c>
    </row>
    <row r="300" spans="1:7" x14ac:dyDescent="0.3">
      <c r="A300" s="8">
        <v>46113</v>
      </c>
      <c r="B300" t="s">
        <v>2038</v>
      </c>
      <c r="C300" t="s">
        <v>1234</v>
      </c>
      <c r="D300" t="s">
        <v>2039</v>
      </c>
      <c r="E300" s="13">
        <v>29122.09</v>
      </c>
      <c r="F300">
        <v>2000</v>
      </c>
      <c r="G300" t="s">
        <v>2040</v>
      </c>
    </row>
    <row r="301" spans="1:7" x14ac:dyDescent="0.3">
      <c r="A301" s="8">
        <v>46113</v>
      </c>
      <c r="B301" t="s">
        <v>2041</v>
      </c>
      <c r="C301" t="s">
        <v>1288</v>
      </c>
      <c r="D301" t="s">
        <v>2042</v>
      </c>
      <c r="E301" s="13">
        <v>36299.79</v>
      </c>
      <c r="F301">
        <v>1100</v>
      </c>
      <c r="G301" t="s">
        <v>2043</v>
      </c>
    </row>
    <row r="302" spans="1:7" x14ac:dyDescent="0.3">
      <c r="A302" s="8">
        <v>46057</v>
      </c>
      <c r="B302" t="s">
        <v>2044</v>
      </c>
      <c r="C302" t="s">
        <v>1238</v>
      </c>
      <c r="D302" t="s">
        <v>2045</v>
      </c>
      <c r="E302" s="13">
        <v>84545.2</v>
      </c>
      <c r="F302">
        <v>1100</v>
      </c>
      <c r="G302" t="s">
        <v>2046</v>
      </c>
    </row>
    <row r="303" spans="1:7" x14ac:dyDescent="0.3">
      <c r="A303" s="8">
        <v>46114</v>
      </c>
      <c r="B303" t="s">
        <v>2047</v>
      </c>
      <c r="C303" t="s">
        <v>1251</v>
      </c>
      <c r="D303" t="s">
        <v>1335</v>
      </c>
      <c r="E303" s="13">
        <v>11735.89</v>
      </c>
      <c r="F303">
        <v>6700</v>
      </c>
      <c r="G303" t="s">
        <v>2048</v>
      </c>
    </row>
    <row r="304" spans="1:7" x14ac:dyDescent="0.3">
      <c r="A304" s="8">
        <v>46114</v>
      </c>
      <c r="B304" t="s">
        <v>2049</v>
      </c>
      <c r="C304" t="s">
        <v>1216</v>
      </c>
      <c r="D304" t="s">
        <v>2050</v>
      </c>
      <c r="E304" s="13">
        <v>116628.2</v>
      </c>
      <c r="F304">
        <v>2000</v>
      </c>
      <c r="G304" t="s">
        <v>2051</v>
      </c>
    </row>
    <row r="305" spans="1:7" x14ac:dyDescent="0.3">
      <c r="A305" s="8">
        <v>46114</v>
      </c>
      <c r="B305" t="s">
        <v>2052</v>
      </c>
      <c r="C305" t="s">
        <v>1208</v>
      </c>
      <c r="D305" t="s">
        <v>1282</v>
      </c>
      <c r="E305" s="13">
        <v>25692.25</v>
      </c>
      <c r="F305">
        <v>6200</v>
      </c>
      <c r="G305" t="s">
        <v>2053</v>
      </c>
    </row>
    <row r="306" spans="1:7" x14ac:dyDescent="0.3">
      <c r="A306" s="8">
        <v>46114</v>
      </c>
      <c r="B306" t="s">
        <v>2054</v>
      </c>
      <c r="C306" t="s">
        <v>1227</v>
      </c>
      <c r="D306" t="s">
        <v>2055</v>
      </c>
      <c r="E306" s="13">
        <v>41682.36</v>
      </c>
      <c r="F306">
        <v>6400</v>
      </c>
      <c r="G306" t="s">
        <v>2056</v>
      </c>
    </row>
    <row r="307" spans="1:7" x14ac:dyDescent="0.3">
      <c r="A307" s="8">
        <v>46115</v>
      </c>
      <c r="B307" t="s">
        <v>2057</v>
      </c>
      <c r="C307" t="s">
        <v>1208</v>
      </c>
      <c r="D307" t="s">
        <v>2001</v>
      </c>
      <c r="E307" s="13">
        <v>2311.0500000000002</v>
      </c>
      <c r="F307">
        <v>6600</v>
      </c>
      <c r="G307" t="s">
        <v>2058</v>
      </c>
    </row>
    <row r="308" spans="1:7" x14ac:dyDescent="0.3">
      <c r="A308" s="8">
        <v>46115</v>
      </c>
      <c r="B308" t="s">
        <v>2059</v>
      </c>
      <c r="C308" t="s">
        <v>1234</v>
      </c>
      <c r="D308" t="s">
        <v>1426</v>
      </c>
      <c r="E308" s="13">
        <v>33071.949999999997</v>
      </c>
      <c r="F308">
        <v>6400</v>
      </c>
      <c r="G308" t="s">
        <v>2060</v>
      </c>
    </row>
    <row r="309" spans="1:7" x14ac:dyDescent="0.3">
      <c r="A309" s="8">
        <v>46115</v>
      </c>
      <c r="B309" t="s">
        <v>2061</v>
      </c>
      <c r="C309" t="s">
        <v>1212</v>
      </c>
      <c r="D309" t="s">
        <v>2062</v>
      </c>
      <c r="E309" s="13">
        <v>145033</v>
      </c>
      <c r="F309">
        <v>1100</v>
      </c>
      <c r="G309" t="s">
        <v>2063</v>
      </c>
    </row>
    <row r="310" spans="1:7" x14ac:dyDescent="0.3">
      <c r="A310" s="8">
        <v>46116</v>
      </c>
      <c r="B310" t="s">
        <v>2064</v>
      </c>
      <c r="C310" t="s">
        <v>1212</v>
      </c>
      <c r="D310" t="s">
        <v>2065</v>
      </c>
      <c r="E310" s="13">
        <v>16558.32</v>
      </c>
      <c r="F310">
        <v>6300</v>
      </c>
      <c r="G310" t="s">
        <v>2066</v>
      </c>
    </row>
    <row r="311" spans="1:7" x14ac:dyDescent="0.3">
      <c r="A311" s="8">
        <v>46116</v>
      </c>
      <c r="B311" t="s">
        <v>2067</v>
      </c>
      <c r="C311" t="s">
        <v>1238</v>
      </c>
      <c r="D311" t="s">
        <v>2068</v>
      </c>
      <c r="E311" s="13">
        <v>80027.92</v>
      </c>
      <c r="F311">
        <v>2000</v>
      </c>
      <c r="G311" t="s">
        <v>2069</v>
      </c>
    </row>
    <row r="312" spans="1:7" x14ac:dyDescent="0.3">
      <c r="A312" s="8">
        <v>46116</v>
      </c>
      <c r="B312" t="s">
        <v>2070</v>
      </c>
      <c r="C312" t="s">
        <v>1208</v>
      </c>
      <c r="D312" t="s">
        <v>2071</v>
      </c>
      <c r="E312" s="13">
        <v>23894.639999999999</v>
      </c>
      <c r="F312">
        <v>6200</v>
      </c>
      <c r="G312" t="s">
        <v>2072</v>
      </c>
    </row>
    <row r="313" spans="1:7" x14ac:dyDescent="0.3">
      <c r="A313" s="8">
        <v>46116</v>
      </c>
      <c r="B313" t="s">
        <v>2073</v>
      </c>
      <c r="C313" t="s">
        <v>1212</v>
      </c>
      <c r="D313" t="s">
        <v>2074</v>
      </c>
      <c r="E313" s="13">
        <v>26216.16</v>
      </c>
      <c r="F313">
        <v>1100</v>
      </c>
      <c r="G313" t="s">
        <v>2075</v>
      </c>
    </row>
    <row r="314" spans="1:7" x14ac:dyDescent="0.3">
      <c r="A314" s="8">
        <v>46116</v>
      </c>
      <c r="B314" t="s">
        <v>2076</v>
      </c>
      <c r="C314" t="s">
        <v>1208</v>
      </c>
      <c r="D314" t="s">
        <v>2077</v>
      </c>
      <c r="E314" s="13">
        <v>23684.31</v>
      </c>
      <c r="F314">
        <v>2000</v>
      </c>
      <c r="G314" t="s">
        <v>2078</v>
      </c>
    </row>
    <row r="315" spans="1:7" x14ac:dyDescent="0.3">
      <c r="A315" s="8">
        <v>46117</v>
      </c>
      <c r="B315" t="s">
        <v>2079</v>
      </c>
      <c r="C315" t="s">
        <v>1234</v>
      </c>
      <c r="D315" t="s">
        <v>1926</v>
      </c>
      <c r="E315" s="13">
        <v>14170.48</v>
      </c>
      <c r="F315">
        <v>6800</v>
      </c>
      <c r="G315" t="s">
        <v>2080</v>
      </c>
    </row>
    <row r="316" spans="1:7" x14ac:dyDescent="0.3">
      <c r="A316" s="8">
        <v>46117</v>
      </c>
      <c r="B316" t="s">
        <v>2081</v>
      </c>
      <c r="C316" t="s">
        <v>1238</v>
      </c>
      <c r="D316" t="s">
        <v>2082</v>
      </c>
      <c r="E316" s="13">
        <v>70539.67</v>
      </c>
      <c r="F316">
        <v>1100</v>
      </c>
      <c r="G316" t="s">
        <v>2083</v>
      </c>
    </row>
    <row r="317" spans="1:7" x14ac:dyDescent="0.3">
      <c r="A317" s="8">
        <v>46117</v>
      </c>
      <c r="B317" t="s">
        <v>2084</v>
      </c>
      <c r="C317" t="s">
        <v>1220</v>
      </c>
      <c r="D317" t="s">
        <v>2085</v>
      </c>
      <c r="E317" s="13">
        <v>27053.13</v>
      </c>
      <c r="F317">
        <v>2000</v>
      </c>
      <c r="G317" t="s">
        <v>2086</v>
      </c>
    </row>
    <row r="318" spans="1:7" x14ac:dyDescent="0.3">
      <c r="A318" s="8">
        <v>46117</v>
      </c>
      <c r="B318" t="s">
        <v>2087</v>
      </c>
      <c r="C318" t="s">
        <v>1227</v>
      </c>
      <c r="D318" t="s">
        <v>1343</v>
      </c>
      <c r="E318" s="13">
        <v>56196.08</v>
      </c>
      <c r="F318">
        <v>6100</v>
      </c>
      <c r="G318" t="s">
        <v>2088</v>
      </c>
    </row>
    <row r="319" spans="1:7" x14ac:dyDescent="0.3">
      <c r="A319" s="8">
        <v>46117</v>
      </c>
      <c r="B319" t="s">
        <v>2089</v>
      </c>
      <c r="C319" t="s">
        <v>1234</v>
      </c>
      <c r="D319" t="s">
        <v>2090</v>
      </c>
      <c r="E319" s="13">
        <v>134395.44</v>
      </c>
      <c r="F319">
        <v>2000</v>
      </c>
      <c r="G319" t="s">
        <v>2091</v>
      </c>
    </row>
    <row r="320" spans="1:7" x14ac:dyDescent="0.3">
      <c r="A320" s="8">
        <v>46118</v>
      </c>
      <c r="B320" t="s">
        <v>2092</v>
      </c>
      <c r="C320" t="s">
        <v>1251</v>
      </c>
      <c r="D320" t="s">
        <v>2093</v>
      </c>
      <c r="E320" s="13">
        <v>90856.54</v>
      </c>
      <c r="F320">
        <v>2000</v>
      </c>
      <c r="G320" t="s">
        <v>2094</v>
      </c>
    </row>
    <row r="321" spans="1:7" x14ac:dyDescent="0.3">
      <c r="A321" s="8">
        <v>46118</v>
      </c>
      <c r="B321" t="s">
        <v>2095</v>
      </c>
      <c r="C321" t="s">
        <v>1212</v>
      </c>
      <c r="D321" t="s">
        <v>2096</v>
      </c>
      <c r="E321" s="13">
        <v>18849.259999999998</v>
      </c>
      <c r="F321">
        <v>1100</v>
      </c>
      <c r="G321" t="s">
        <v>2097</v>
      </c>
    </row>
    <row r="322" spans="1:7" x14ac:dyDescent="0.3">
      <c r="A322" s="8">
        <v>46118</v>
      </c>
      <c r="B322" t="s">
        <v>2098</v>
      </c>
      <c r="C322" t="s">
        <v>1234</v>
      </c>
      <c r="D322" t="s">
        <v>1235</v>
      </c>
      <c r="E322" s="13">
        <v>28307.34</v>
      </c>
      <c r="F322">
        <v>6000</v>
      </c>
    </row>
    <row r="323" spans="1:7" x14ac:dyDescent="0.3">
      <c r="A323" s="8">
        <v>46118</v>
      </c>
      <c r="B323" t="s">
        <v>2099</v>
      </c>
      <c r="C323" t="s">
        <v>1201</v>
      </c>
      <c r="D323" t="s">
        <v>2100</v>
      </c>
      <c r="E323" s="13">
        <v>80059.87</v>
      </c>
      <c r="F323">
        <v>2000</v>
      </c>
      <c r="G323" t="s">
        <v>2101</v>
      </c>
    </row>
    <row r="324" spans="1:7" x14ac:dyDescent="0.3">
      <c r="A324" s="8">
        <v>46119</v>
      </c>
      <c r="B324" t="s">
        <v>2102</v>
      </c>
      <c r="C324" t="s">
        <v>1208</v>
      </c>
      <c r="D324" t="s">
        <v>1209</v>
      </c>
      <c r="E324" s="13">
        <v>96447.45</v>
      </c>
      <c r="F324">
        <v>6100</v>
      </c>
      <c r="G324" t="s">
        <v>2103</v>
      </c>
    </row>
    <row r="325" spans="1:7" x14ac:dyDescent="0.3">
      <c r="A325" s="8">
        <v>46119</v>
      </c>
      <c r="B325" t="s">
        <v>2104</v>
      </c>
      <c r="C325" t="s">
        <v>1220</v>
      </c>
      <c r="D325" t="s">
        <v>2105</v>
      </c>
      <c r="E325" s="13">
        <v>69301.06</v>
      </c>
      <c r="F325">
        <v>2000</v>
      </c>
      <c r="G325" t="s">
        <v>2106</v>
      </c>
    </row>
    <row r="326" spans="1:7" x14ac:dyDescent="0.3">
      <c r="A326" s="8">
        <v>46119</v>
      </c>
      <c r="B326" t="s">
        <v>2107</v>
      </c>
      <c r="C326" t="s">
        <v>1216</v>
      </c>
      <c r="D326" t="s">
        <v>2108</v>
      </c>
      <c r="E326" s="13">
        <v>130192.21</v>
      </c>
      <c r="F326">
        <v>2000</v>
      </c>
      <c r="G326" t="s">
        <v>2109</v>
      </c>
    </row>
    <row r="327" spans="1:7" x14ac:dyDescent="0.3">
      <c r="A327" s="8">
        <v>46120</v>
      </c>
      <c r="B327" t="s">
        <v>2110</v>
      </c>
      <c r="C327" t="s">
        <v>1208</v>
      </c>
      <c r="D327" t="s">
        <v>1295</v>
      </c>
      <c r="E327" s="13">
        <v>22806</v>
      </c>
      <c r="F327">
        <v>6400</v>
      </c>
      <c r="G327" t="s">
        <v>2111</v>
      </c>
    </row>
    <row r="328" spans="1:7" x14ac:dyDescent="0.3">
      <c r="A328" s="8">
        <v>46120</v>
      </c>
      <c r="B328" t="s">
        <v>2112</v>
      </c>
      <c r="C328" t="s">
        <v>1220</v>
      </c>
      <c r="D328" t="s">
        <v>1255</v>
      </c>
      <c r="E328" s="13">
        <v>3869.27</v>
      </c>
      <c r="F328">
        <v>1100</v>
      </c>
      <c r="G328" t="s">
        <v>2113</v>
      </c>
    </row>
    <row r="329" spans="1:7" x14ac:dyDescent="0.3">
      <c r="A329" s="8">
        <v>46120</v>
      </c>
      <c r="B329" t="s">
        <v>2114</v>
      </c>
      <c r="C329" t="s">
        <v>1212</v>
      </c>
      <c r="D329" t="s">
        <v>1698</v>
      </c>
      <c r="E329" s="13">
        <v>1301.8</v>
      </c>
      <c r="F329">
        <v>5000</v>
      </c>
      <c r="G329" t="s">
        <v>2115</v>
      </c>
    </row>
    <row r="330" spans="1:7" x14ac:dyDescent="0.3">
      <c r="A330" s="8">
        <v>46120</v>
      </c>
      <c r="B330" t="s">
        <v>2116</v>
      </c>
      <c r="C330" t="s">
        <v>1220</v>
      </c>
      <c r="D330" t="s">
        <v>1224</v>
      </c>
      <c r="E330" s="13">
        <v>44729.37</v>
      </c>
      <c r="F330">
        <v>6000</v>
      </c>
      <c r="G330" t="s">
        <v>2117</v>
      </c>
    </row>
    <row r="331" spans="1:7" x14ac:dyDescent="0.3">
      <c r="A331" s="8">
        <v>46121</v>
      </c>
      <c r="B331" t="s">
        <v>2118</v>
      </c>
      <c r="C331" t="s">
        <v>1220</v>
      </c>
      <c r="D331" t="s">
        <v>2119</v>
      </c>
      <c r="E331" s="13">
        <v>67616.72</v>
      </c>
      <c r="F331">
        <v>1100</v>
      </c>
      <c r="G331" t="s">
        <v>2120</v>
      </c>
    </row>
    <row r="332" spans="1:7" x14ac:dyDescent="0.3">
      <c r="A332" s="8">
        <v>46121</v>
      </c>
      <c r="B332" t="s">
        <v>2121</v>
      </c>
      <c r="C332" t="s">
        <v>1201</v>
      </c>
      <c r="D332" t="s">
        <v>1400</v>
      </c>
      <c r="E332" s="13">
        <v>83303.16</v>
      </c>
      <c r="F332">
        <v>6100</v>
      </c>
      <c r="G332" t="s">
        <v>2122</v>
      </c>
    </row>
    <row r="333" spans="1:7" x14ac:dyDescent="0.3">
      <c r="A333" s="8">
        <v>46121</v>
      </c>
      <c r="B333" t="s">
        <v>2123</v>
      </c>
      <c r="C333" t="s">
        <v>1234</v>
      </c>
      <c r="D333" t="s">
        <v>2124</v>
      </c>
      <c r="E333" s="13">
        <v>1724.92</v>
      </c>
      <c r="F333">
        <v>2000</v>
      </c>
      <c r="G333" t="s">
        <v>2125</v>
      </c>
    </row>
    <row r="334" spans="1:7" x14ac:dyDescent="0.3">
      <c r="A334" s="8">
        <v>46122</v>
      </c>
      <c r="B334" t="s">
        <v>2126</v>
      </c>
      <c r="C334" t="s">
        <v>1201</v>
      </c>
      <c r="D334" t="s">
        <v>2127</v>
      </c>
      <c r="E334" s="13">
        <v>176526.07999999999</v>
      </c>
      <c r="F334">
        <v>1100</v>
      </c>
      <c r="G334" t="s">
        <v>2128</v>
      </c>
    </row>
    <row r="335" spans="1:7" x14ac:dyDescent="0.3">
      <c r="A335" s="8">
        <v>46122</v>
      </c>
      <c r="B335" t="s">
        <v>2129</v>
      </c>
      <c r="C335" t="s">
        <v>1208</v>
      </c>
      <c r="D335" t="s">
        <v>2130</v>
      </c>
      <c r="E335" s="13">
        <v>121990.83</v>
      </c>
      <c r="F335">
        <v>2000</v>
      </c>
      <c r="G335" t="s">
        <v>2131</v>
      </c>
    </row>
    <row r="336" spans="1:7" x14ac:dyDescent="0.3">
      <c r="A336" s="8">
        <v>46122</v>
      </c>
      <c r="B336" t="s">
        <v>2132</v>
      </c>
      <c r="C336" t="s">
        <v>1238</v>
      </c>
      <c r="D336" t="s">
        <v>1695</v>
      </c>
      <c r="E336" s="13">
        <v>33814.92</v>
      </c>
      <c r="F336">
        <v>6400</v>
      </c>
      <c r="G336" t="s">
        <v>2133</v>
      </c>
    </row>
    <row r="337" spans="1:7" x14ac:dyDescent="0.3">
      <c r="A337" s="8">
        <v>46122</v>
      </c>
      <c r="B337" t="s">
        <v>2134</v>
      </c>
      <c r="C337" t="s">
        <v>1212</v>
      </c>
      <c r="D337" t="s">
        <v>2065</v>
      </c>
      <c r="E337" s="13">
        <v>44656.65</v>
      </c>
      <c r="F337">
        <v>9999</v>
      </c>
      <c r="G337" t="s">
        <v>2135</v>
      </c>
    </row>
    <row r="338" spans="1:7" x14ac:dyDescent="0.3">
      <c r="A338" s="8">
        <v>46123</v>
      </c>
      <c r="B338" t="s">
        <v>2136</v>
      </c>
      <c r="C338" t="s">
        <v>1288</v>
      </c>
      <c r="D338" t="s">
        <v>2137</v>
      </c>
      <c r="E338" s="13">
        <v>57294.66</v>
      </c>
      <c r="F338">
        <v>2000</v>
      </c>
      <c r="G338" t="s">
        <v>2138</v>
      </c>
    </row>
    <row r="339" spans="1:7" x14ac:dyDescent="0.3">
      <c r="A339" s="8">
        <v>46123</v>
      </c>
      <c r="B339" t="s">
        <v>2139</v>
      </c>
      <c r="C339" t="s">
        <v>1238</v>
      </c>
      <c r="D339" t="s">
        <v>2140</v>
      </c>
      <c r="E339" s="13">
        <v>3141.48</v>
      </c>
      <c r="F339">
        <v>6300</v>
      </c>
      <c r="G339" t="s">
        <v>2141</v>
      </c>
    </row>
    <row r="340" spans="1:7" x14ac:dyDescent="0.3">
      <c r="A340" s="8">
        <v>46123</v>
      </c>
      <c r="B340" t="s">
        <v>2142</v>
      </c>
      <c r="C340" t="s">
        <v>1251</v>
      </c>
      <c r="D340" t="s">
        <v>2143</v>
      </c>
      <c r="E340" s="13">
        <v>141090.42000000001</v>
      </c>
      <c r="F340">
        <v>2000</v>
      </c>
      <c r="G340" t="s">
        <v>2144</v>
      </c>
    </row>
    <row r="341" spans="1:7" x14ac:dyDescent="0.3">
      <c r="A341" s="8">
        <v>46123</v>
      </c>
      <c r="B341" t="s">
        <v>2145</v>
      </c>
      <c r="C341" t="s">
        <v>1212</v>
      </c>
      <c r="D341" t="s">
        <v>1213</v>
      </c>
      <c r="E341" s="13">
        <v>40162.239999999998</v>
      </c>
      <c r="F341">
        <v>6100</v>
      </c>
      <c r="G341" t="s">
        <v>2146</v>
      </c>
    </row>
    <row r="342" spans="1:7" x14ac:dyDescent="0.3">
      <c r="A342" s="8">
        <v>46123</v>
      </c>
      <c r="B342" t="s">
        <v>2147</v>
      </c>
      <c r="C342" t="s">
        <v>1216</v>
      </c>
      <c r="D342" t="s">
        <v>1217</v>
      </c>
      <c r="E342" s="13">
        <v>8073.07</v>
      </c>
      <c r="F342">
        <v>6700</v>
      </c>
      <c r="G342" t="s">
        <v>2148</v>
      </c>
    </row>
    <row r="343" spans="1:7" x14ac:dyDescent="0.3">
      <c r="A343" s="8">
        <v>46124</v>
      </c>
      <c r="B343" t="s">
        <v>2149</v>
      </c>
      <c r="C343" t="s">
        <v>1234</v>
      </c>
      <c r="D343" t="s">
        <v>1514</v>
      </c>
      <c r="E343" s="13">
        <v>2567.58</v>
      </c>
      <c r="F343">
        <v>6200</v>
      </c>
      <c r="G343" t="s">
        <v>2150</v>
      </c>
    </row>
    <row r="344" spans="1:7" x14ac:dyDescent="0.3">
      <c r="A344" s="8">
        <v>46124</v>
      </c>
      <c r="B344" t="s">
        <v>2151</v>
      </c>
      <c r="C344" t="s">
        <v>1238</v>
      </c>
      <c r="D344" t="s">
        <v>1318</v>
      </c>
      <c r="E344" s="13">
        <v>59196.92</v>
      </c>
      <c r="F344">
        <v>6100</v>
      </c>
      <c r="G344" t="s">
        <v>2152</v>
      </c>
    </row>
    <row r="345" spans="1:7" x14ac:dyDescent="0.3">
      <c r="A345" s="8">
        <v>46125</v>
      </c>
      <c r="B345" t="s">
        <v>2153</v>
      </c>
      <c r="C345" t="s">
        <v>1227</v>
      </c>
      <c r="D345" t="s">
        <v>2154</v>
      </c>
      <c r="E345" s="13">
        <v>74842.87</v>
      </c>
      <c r="F345">
        <v>1100</v>
      </c>
      <c r="G345" t="s">
        <v>2155</v>
      </c>
    </row>
    <row r="346" spans="1:7" x14ac:dyDescent="0.3">
      <c r="A346" s="8">
        <v>46125</v>
      </c>
      <c r="B346" t="s">
        <v>2156</v>
      </c>
      <c r="C346" t="s">
        <v>1238</v>
      </c>
      <c r="D346" t="s">
        <v>2157</v>
      </c>
      <c r="E346" s="13">
        <v>8233.19</v>
      </c>
      <c r="F346">
        <v>2000</v>
      </c>
      <c r="G346" t="s">
        <v>2158</v>
      </c>
    </row>
    <row r="347" spans="1:7" x14ac:dyDescent="0.3">
      <c r="A347" s="8">
        <v>46125</v>
      </c>
      <c r="B347" t="s">
        <v>2159</v>
      </c>
      <c r="C347" t="s">
        <v>1220</v>
      </c>
      <c r="D347" t="s">
        <v>2160</v>
      </c>
      <c r="E347" s="13">
        <v>62878.33</v>
      </c>
      <c r="F347">
        <v>1100</v>
      </c>
      <c r="G347" t="s">
        <v>2161</v>
      </c>
    </row>
    <row r="348" spans="1:7" x14ac:dyDescent="0.3">
      <c r="A348" s="8">
        <v>46125</v>
      </c>
      <c r="B348" t="s">
        <v>2162</v>
      </c>
      <c r="C348" t="s">
        <v>1251</v>
      </c>
      <c r="D348" t="s">
        <v>1321</v>
      </c>
      <c r="E348" s="13">
        <v>48010.5</v>
      </c>
      <c r="F348">
        <v>6700</v>
      </c>
      <c r="G348" t="s">
        <v>2163</v>
      </c>
    </row>
    <row r="349" spans="1:7" x14ac:dyDescent="0.3">
      <c r="A349" s="8">
        <v>46126</v>
      </c>
      <c r="B349" t="s">
        <v>2164</v>
      </c>
      <c r="C349" t="s">
        <v>1227</v>
      </c>
      <c r="D349" t="s">
        <v>2165</v>
      </c>
      <c r="E349" s="13">
        <v>137656.14000000001</v>
      </c>
      <c r="F349">
        <v>2000</v>
      </c>
      <c r="G349" t="s">
        <v>2166</v>
      </c>
    </row>
    <row r="350" spans="1:7" x14ac:dyDescent="0.3">
      <c r="A350" s="8">
        <v>46126</v>
      </c>
      <c r="B350" t="s">
        <v>2167</v>
      </c>
      <c r="C350" t="s">
        <v>1238</v>
      </c>
      <c r="D350" t="s">
        <v>2168</v>
      </c>
      <c r="E350" s="13">
        <v>8862.42</v>
      </c>
      <c r="F350">
        <v>6000</v>
      </c>
      <c r="G350" t="s">
        <v>2169</v>
      </c>
    </row>
    <row r="351" spans="1:7" x14ac:dyDescent="0.3">
      <c r="A351" s="8">
        <v>46126</v>
      </c>
      <c r="B351" t="s">
        <v>2170</v>
      </c>
      <c r="C351" t="s">
        <v>1201</v>
      </c>
      <c r="D351" t="s">
        <v>2171</v>
      </c>
      <c r="E351" s="13">
        <v>42050.76</v>
      </c>
      <c r="F351">
        <v>2000</v>
      </c>
      <c r="G351" t="s">
        <v>2172</v>
      </c>
    </row>
    <row r="352" spans="1:7" x14ac:dyDescent="0.3">
      <c r="A352" s="8">
        <v>46126</v>
      </c>
      <c r="B352" t="s">
        <v>2173</v>
      </c>
      <c r="C352" t="s">
        <v>1220</v>
      </c>
      <c r="D352" t="s">
        <v>2174</v>
      </c>
      <c r="E352" s="13">
        <v>55126.18</v>
      </c>
      <c r="F352">
        <v>2000</v>
      </c>
      <c r="G352" t="s">
        <v>2175</v>
      </c>
    </row>
    <row r="353" spans="1:7" x14ac:dyDescent="0.3">
      <c r="A353" s="8">
        <v>46126</v>
      </c>
      <c r="B353" t="s">
        <v>2176</v>
      </c>
      <c r="C353" t="s">
        <v>1288</v>
      </c>
      <c r="D353" t="s">
        <v>2177</v>
      </c>
      <c r="E353" s="13">
        <v>148520.94</v>
      </c>
      <c r="F353">
        <v>1100</v>
      </c>
      <c r="G353" t="s">
        <v>2178</v>
      </c>
    </row>
    <row r="354" spans="1:7" x14ac:dyDescent="0.3">
      <c r="A354" s="8">
        <v>46127</v>
      </c>
      <c r="B354" t="s">
        <v>2179</v>
      </c>
      <c r="C354" t="s">
        <v>1234</v>
      </c>
      <c r="D354" t="s">
        <v>2180</v>
      </c>
      <c r="E354" s="13">
        <v>22934.17</v>
      </c>
      <c r="F354">
        <v>1100</v>
      </c>
      <c r="G354" t="s">
        <v>2181</v>
      </c>
    </row>
    <row r="355" spans="1:7" x14ac:dyDescent="0.3">
      <c r="A355" s="8">
        <v>46127</v>
      </c>
      <c r="B355" t="s">
        <v>2182</v>
      </c>
      <c r="C355" t="s">
        <v>1216</v>
      </c>
      <c r="D355" t="s">
        <v>2183</v>
      </c>
      <c r="E355" s="13">
        <v>88582.32</v>
      </c>
      <c r="F355">
        <v>2000</v>
      </c>
      <c r="G355" t="s">
        <v>2184</v>
      </c>
    </row>
    <row r="356" spans="1:7" x14ac:dyDescent="0.3">
      <c r="A356" s="8">
        <v>46128</v>
      </c>
      <c r="B356" t="s">
        <v>2185</v>
      </c>
      <c r="C356" t="s">
        <v>1238</v>
      </c>
      <c r="D356" t="s">
        <v>2186</v>
      </c>
      <c r="E356" s="13">
        <v>130031.08</v>
      </c>
      <c r="F356">
        <v>1100</v>
      </c>
      <c r="G356" t="s">
        <v>2187</v>
      </c>
    </row>
    <row r="357" spans="1:7" x14ac:dyDescent="0.3">
      <c r="A357" s="8">
        <v>46128</v>
      </c>
      <c r="B357" t="s">
        <v>2188</v>
      </c>
      <c r="C357" t="s">
        <v>1288</v>
      </c>
      <c r="D357" t="s">
        <v>2189</v>
      </c>
      <c r="E357" s="13">
        <v>42141.87</v>
      </c>
      <c r="F357">
        <v>2000</v>
      </c>
      <c r="G357" t="s">
        <v>2190</v>
      </c>
    </row>
    <row r="358" spans="1:7" x14ac:dyDescent="0.3">
      <c r="A358" s="8">
        <v>46128</v>
      </c>
      <c r="B358" t="s">
        <v>2191</v>
      </c>
      <c r="C358" t="s">
        <v>1216</v>
      </c>
      <c r="D358" t="s">
        <v>2192</v>
      </c>
      <c r="E358" s="13">
        <v>101415.23</v>
      </c>
      <c r="F358">
        <v>1100</v>
      </c>
      <c r="G358" t="s">
        <v>2193</v>
      </c>
    </row>
    <row r="359" spans="1:7" x14ac:dyDescent="0.3">
      <c r="A359" s="8">
        <v>46130</v>
      </c>
      <c r="B359" t="s">
        <v>2194</v>
      </c>
      <c r="C359" t="s">
        <v>1288</v>
      </c>
      <c r="D359" t="s">
        <v>1381</v>
      </c>
      <c r="E359" s="13">
        <v>29934.89</v>
      </c>
      <c r="F359">
        <v>6100</v>
      </c>
      <c r="G359" t="s">
        <v>2195</v>
      </c>
    </row>
    <row r="360" spans="1:7" x14ac:dyDescent="0.3">
      <c r="A360" s="8">
        <v>46130</v>
      </c>
      <c r="B360" t="s">
        <v>2196</v>
      </c>
      <c r="C360" t="s">
        <v>1234</v>
      </c>
      <c r="D360" t="s">
        <v>2197</v>
      </c>
      <c r="E360" s="13">
        <v>34236.32</v>
      </c>
      <c r="F360">
        <v>1100</v>
      </c>
      <c r="G360" t="s">
        <v>2198</v>
      </c>
    </row>
    <row r="361" spans="1:7" x14ac:dyDescent="0.3">
      <c r="A361" s="8">
        <v>46130</v>
      </c>
      <c r="B361" t="s">
        <v>2199</v>
      </c>
      <c r="C361" t="s">
        <v>1288</v>
      </c>
      <c r="D361" t="s">
        <v>2200</v>
      </c>
      <c r="E361" s="13">
        <v>126320.69</v>
      </c>
      <c r="F361">
        <v>2000</v>
      </c>
      <c r="G361" t="s">
        <v>2201</v>
      </c>
    </row>
    <row r="362" spans="1:7" x14ac:dyDescent="0.3">
      <c r="A362" t="s">
        <v>2202</v>
      </c>
      <c r="B362" t="s">
        <v>2203</v>
      </c>
      <c r="C362" t="s">
        <v>1220</v>
      </c>
      <c r="D362" t="s">
        <v>1255</v>
      </c>
      <c r="E362" s="13">
        <v>297.26</v>
      </c>
      <c r="F362">
        <v>6800</v>
      </c>
      <c r="G362" t="s">
        <v>2204</v>
      </c>
    </row>
    <row r="363" spans="1:7" x14ac:dyDescent="0.3">
      <c r="A363" s="8">
        <v>46131</v>
      </c>
      <c r="B363" t="s">
        <v>2205</v>
      </c>
      <c r="C363" t="s">
        <v>1216</v>
      </c>
      <c r="D363" t="s">
        <v>2206</v>
      </c>
      <c r="E363" s="13">
        <v>3110.05</v>
      </c>
      <c r="F363">
        <v>1100</v>
      </c>
      <c r="G363" t="s">
        <v>2207</v>
      </c>
    </row>
    <row r="364" spans="1:7" x14ac:dyDescent="0.3">
      <c r="A364" s="8">
        <v>46131</v>
      </c>
      <c r="B364" t="s">
        <v>2208</v>
      </c>
      <c r="C364" t="s">
        <v>1234</v>
      </c>
      <c r="D364" t="s">
        <v>1926</v>
      </c>
      <c r="E364" s="13">
        <v>36204.21</v>
      </c>
      <c r="F364">
        <v>6800</v>
      </c>
      <c r="G364" t="s">
        <v>2209</v>
      </c>
    </row>
    <row r="365" spans="1:7" x14ac:dyDescent="0.3">
      <c r="A365" s="8">
        <v>46131</v>
      </c>
      <c r="B365" t="s">
        <v>2210</v>
      </c>
      <c r="C365" t="s">
        <v>1234</v>
      </c>
      <c r="D365" t="s">
        <v>1235</v>
      </c>
      <c r="E365" s="13">
        <v>40442.980000000003</v>
      </c>
      <c r="F365">
        <v>6000</v>
      </c>
      <c r="G365" t="s">
        <v>2211</v>
      </c>
    </row>
    <row r="366" spans="1:7" x14ac:dyDescent="0.3">
      <c r="A366" s="8">
        <v>46131</v>
      </c>
      <c r="B366" t="s">
        <v>2212</v>
      </c>
      <c r="C366" t="s">
        <v>1220</v>
      </c>
      <c r="D366" t="s">
        <v>1255</v>
      </c>
      <c r="E366" s="13">
        <v>553.78</v>
      </c>
      <c r="F366">
        <v>6000</v>
      </c>
      <c r="G366" t="s">
        <v>2213</v>
      </c>
    </row>
    <row r="367" spans="1:7" x14ac:dyDescent="0.3">
      <c r="A367" s="8">
        <v>46132</v>
      </c>
      <c r="B367" t="s">
        <v>2214</v>
      </c>
      <c r="C367" t="s">
        <v>1251</v>
      </c>
      <c r="D367" t="s">
        <v>2215</v>
      </c>
      <c r="E367" s="13">
        <v>143976</v>
      </c>
      <c r="F367">
        <v>2000</v>
      </c>
      <c r="G367" t="s">
        <v>2216</v>
      </c>
    </row>
    <row r="368" spans="1:7" x14ac:dyDescent="0.3">
      <c r="A368" s="8">
        <v>46132</v>
      </c>
      <c r="B368" t="s">
        <v>2217</v>
      </c>
      <c r="C368" t="s">
        <v>1234</v>
      </c>
      <c r="D368" t="s">
        <v>2218</v>
      </c>
      <c r="E368" s="13">
        <v>81114.490000000005</v>
      </c>
      <c r="F368">
        <v>2000</v>
      </c>
      <c r="G368" t="s">
        <v>2219</v>
      </c>
    </row>
    <row r="369" spans="1:7" x14ac:dyDescent="0.3">
      <c r="A369" s="8">
        <v>46132</v>
      </c>
      <c r="B369" t="s">
        <v>2220</v>
      </c>
      <c r="C369" t="s">
        <v>1201</v>
      </c>
      <c r="D369" t="s">
        <v>1400</v>
      </c>
      <c r="E369" s="13">
        <v>98889.15</v>
      </c>
      <c r="F369">
        <v>6100</v>
      </c>
      <c r="G369" t="s">
        <v>2221</v>
      </c>
    </row>
    <row r="370" spans="1:7" x14ac:dyDescent="0.3">
      <c r="A370" s="8">
        <v>46133</v>
      </c>
      <c r="B370" t="s">
        <v>2222</v>
      </c>
      <c r="C370" t="s">
        <v>1288</v>
      </c>
      <c r="D370" t="s">
        <v>1381</v>
      </c>
      <c r="E370" s="13">
        <v>42222.87</v>
      </c>
      <c r="F370">
        <v>6100</v>
      </c>
      <c r="G370" t="s">
        <v>2223</v>
      </c>
    </row>
    <row r="371" spans="1:7" x14ac:dyDescent="0.3">
      <c r="A371" s="8">
        <v>46133</v>
      </c>
      <c r="B371" t="s">
        <v>2224</v>
      </c>
      <c r="C371" t="s">
        <v>1234</v>
      </c>
      <c r="D371" t="s">
        <v>2225</v>
      </c>
      <c r="E371" s="13">
        <v>126060.11</v>
      </c>
      <c r="F371">
        <v>2000</v>
      </c>
      <c r="G371" t="s">
        <v>2226</v>
      </c>
    </row>
    <row r="372" spans="1:7" x14ac:dyDescent="0.3">
      <c r="A372" s="8">
        <v>46133</v>
      </c>
      <c r="B372" t="s">
        <v>2227</v>
      </c>
      <c r="C372" t="s">
        <v>1251</v>
      </c>
      <c r="D372" t="s">
        <v>2228</v>
      </c>
      <c r="E372" s="13">
        <v>145205.10999999999</v>
      </c>
      <c r="F372">
        <v>2000</v>
      </c>
      <c r="G372" t="s">
        <v>2229</v>
      </c>
    </row>
    <row r="373" spans="1:7" x14ac:dyDescent="0.3">
      <c r="A373" s="8">
        <v>46134</v>
      </c>
      <c r="B373" t="s">
        <v>2230</v>
      </c>
      <c r="C373" t="s">
        <v>1201</v>
      </c>
      <c r="D373" t="s">
        <v>2231</v>
      </c>
      <c r="E373" s="13">
        <v>5865.73</v>
      </c>
      <c r="F373">
        <v>2000</v>
      </c>
      <c r="G373" t="s">
        <v>2232</v>
      </c>
    </row>
    <row r="374" spans="1:7" x14ac:dyDescent="0.3">
      <c r="A374" s="8">
        <v>46134</v>
      </c>
      <c r="B374" t="s">
        <v>2233</v>
      </c>
      <c r="C374" t="s">
        <v>1208</v>
      </c>
      <c r="D374" t="s">
        <v>1209</v>
      </c>
      <c r="E374" s="13">
        <v>82017.64</v>
      </c>
      <c r="F374">
        <v>6100</v>
      </c>
      <c r="G374" t="s">
        <v>2234</v>
      </c>
    </row>
    <row r="375" spans="1:7" x14ac:dyDescent="0.3">
      <c r="A375" s="8">
        <v>46134</v>
      </c>
      <c r="B375" t="s">
        <v>2235</v>
      </c>
      <c r="C375" t="s">
        <v>1234</v>
      </c>
      <c r="D375" t="s">
        <v>1245</v>
      </c>
      <c r="E375" s="13">
        <v>34404.19</v>
      </c>
      <c r="F375">
        <v>6100</v>
      </c>
      <c r="G375" t="s">
        <v>2236</v>
      </c>
    </row>
    <row r="376" spans="1:7" x14ac:dyDescent="0.3">
      <c r="A376" s="8">
        <v>46134</v>
      </c>
      <c r="B376" t="s">
        <v>2237</v>
      </c>
      <c r="C376" t="s">
        <v>1216</v>
      </c>
      <c r="D376" t="s">
        <v>1217</v>
      </c>
      <c r="E376" s="13">
        <v>30035.45</v>
      </c>
      <c r="F376">
        <v>6300</v>
      </c>
      <c r="G376" t="s">
        <v>2238</v>
      </c>
    </row>
    <row r="377" spans="1:7" x14ac:dyDescent="0.3">
      <c r="A377" s="8">
        <v>46135</v>
      </c>
      <c r="B377" t="s">
        <v>2239</v>
      </c>
      <c r="C377" t="s">
        <v>1216</v>
      </c>
      <c r="D377" t="s">
        <v>1390</v>
      </c>
      <c r="E377" s="13">
        <v>40238.78</v>
      </c>
      <c r="F377">
        <v>6100</v>
      </c>
      <c r="G377" t="s">
        <v>2240</v>
      </c>
    </row>
    <row r="378" spans="1:7" x14ac:dyDescent="0.3">
      <c r="A378" s="8">
        <v>46135</v>
      </c>
      <c r="B378" t="s">
        <v>2241</v>
      </c>
      <c r="C378" t="s">
        <v>1208</v>
      </c>
      <c r="D378" t="s">
        <v>1369</v>
      </c>
      <c r="E378" s="13">
        <v>45100.54</v>
      </c>
      <c r="F378">
        <v>6200</v>
      </c>
      <c r="G378" t="s">
        <v>2242</v>
      </c>
    </row>
    <row r="379" spans="1:7" x14ac:dyDescent="0.3">
      <c r="A379" s="8">
        <v>46135</v>
      </c>
      <c r="B379" t="s">
        <v>2243</v>
      </c>
      <c r="C379" t="s">
        <v>1216</v>
      </c>
      <c r="D379" t="s">
        <v>1957</v>
      </c>
      <c r="E379" s="13">
        <v>22622.5</v>
      </c>
      <c r="F379">
        <v>6700</v>
      </c>
      <c r="G379" t="s">
        <v>2244</v>
      </c>
    </row>
    <row r="380" spans="1:7" x14ac:dyDescent="0.3">
      <c r="A380" s="8">
        <v>46135</v>
      </c>
      <c r="B380" t="s">
        <v>2245</v>
      </c>
      <c r="C380" t="s">
        <v>1288</v>
      </c>
      <c r="D380" t="s">
        <v>2246</v>
      </c>
      <c r="E380" s="13">
        <v>99548.76</v>
      </c>
      <c r="F380">
        <v>2000</v>
      </c>
      <c r="G380" t="s">
        <v>2247</v>
      </c>
    </row>
    <row r="381" spans="1:7" x14ac:dyDescent="0.3">
      <c r="A381" s="8">
        <v>46136</v>
      </c>
      <c r="B381" t="s">
        <v>2248</v>
      </c>
      <c r="C381" t="s">
        <v>1220</v>
      </c>
      <c r="D381" t="s">
        <v>1292</v>
      </c>
      <c r="E381" s="13">
        <v>30375.47</v>
      </c>
      <c r="F381">
        <v>6200</v>
      </c>
      <c r="G381" t="s">
        <v>2249</v>
      </c>
    </row>
    <row r="382" spans="1:7" x14ac:dyDescent="0.3">
      <c r="A382" s="8">
        <v>46136</v>
      </c>
      <c r="B382" t="s">
        <v>2250</v>
      </c>
      <c r="C382" t="s">
        <v>1234</v>
      </c>
      <c r="D382" t="s">
        <v>2251</v>
      </c>
      <c r="E382" s="13">
        <v>65193.65</v>
      </c>
      <c r="F382">
        <v>2000</v>
      </c>
    </row>
    <row r="383" spans="1:7" x14ac:dyDescent="0.3">
      <c r="A383" s="8">
        <v>46136</v>
      </c>
      <c r="B383" t="s">
        <v>2252</v>
      </c>
      <c r="C383" t="s">
        <v>1227</v>
      </c>
      <c r="D383" t="s">
        <v>1279</v>
      </c>
      <c r="E383" s="13">
        <v>43267.34</v>
      </c>
      <c r="F383">
        <v>6000</v>
      </c>
      <c r="G383" t="s">
        <v>2253</v>
      </c>
    </row>
    <row r="384" spans="1:7" x14ac:dyDescent="0.3">
      <c r="A384" s="8">
        <v>46136</v>
      </c>
      <c r="B384" t="s">
        <v>2254</v>
      </c>
      <c r="C384" t="s">
        <v>1208</v>
      </c>
      <c r="D384" t="s">
        <v>2071</v>
      </c>
      <c r="E384" s="13">
        <v>14337.92</v>
      </c>
      <c r="F384">
        <v>6800</v>
      </c>
      <c r="G384" t="s">
        <v>2255</v>
      </c>
    </row>
    <row r="385" spans="1:7" x14ac:dyDescent="0.3">
      <c r="A385" s="8">
        <v>46136</v>
      </c>
      <c r="B385" t="s">
        <v>2256</v>
      </c>
      <c r="C385" t="s">
        <v>1208</v>
      </c>
      <c r="D385" t="s">
        <v>2257</v>
      </c>
      <c r="E385" s="13">
        <v>106598.42</v>
      </c>
      <c r="F385">
        <v>2000</v>
      </c>
      <c r="G385" t="s">
        <v>2258</v>
      </c>
    </row>
    <row r="386" spans="1:7" x14ac:dyDescent="0.3">
      <c r="A386" s="8">
        <v>46137</v>
      </c>
      <c r="B386" t="s">
        <v>2259</v>
      </c>
      <c r="C386" t="s">
        <v>1201</v>
      </c>
      <c r="D386" t="s">
        <v>1674</v>
      </c>
      <c r="E386" s="13">
        <v>40259.769999999997</v>
      </c>
      <c r="F386">
        <v>6000</v>
      </c>
      <c r="G386" t="s">
        <v>2260</v>
      </c>
    </row>
    <row r="387" spans="1:7" x14ac:dyDescent="0.3">
      <c r="A387" s="8">
        <v>46137</v>
      </c>
      <c r="B387" t="s">
        <v>2261</v>
      </c>
      <c r="C387" t="s">
        <v>1201</v>
      </c>
      <c r="D387" t="s">
        <v>2262</v>
      </c>
      <c r="E387" s="13">
        <v>64023.06</v>
      </c>
      <c r="F387">
        <v>1100</v>
      </c>
      <c r="G387" t="s">
        <v>2263</v>
      </c>
    </row>
    <row r="388" spans="1:7" x14ac:dyDescent="0.3">
      <c r="A388" s="8">
        <v>46137</v>
      </c>
      <c r="B388" t="s">
        <v>2264</v>
      </c>
      <c r="C388" t="s">
        <v>1220</v>
      </c>
      <c r="D388" t="s">
        <v>1686</v>
      </c>
      <c r="E388" s="13">
        <v>41438.370000000003</v>
      </c>
      <c r="F388">
        <v>6400</v>
      </c>
      <c r="G388" t="s">
        <v>2265</v>
      </c>
    </row>
    <row r="389" spans="1:7" x14ac:dyDescent="0.3">
      <c r="A389" s="8">
        <v>46137</v>
      </c>
      <c r="B389" t="s">
        <v>2266</v>
      </c>
      <c r="C389" t="s">
        <v>1220</v>
      </c>
      <c r="D389" t="s">
        <v>2267</v>
      </c>
      <c r="E389" s="13">
        <v>24120.68</v>
      </c>
      <c r="F389">
        <v>1100</v>
      </c>
      <c r="G389" t="s">
        <v>2268</v>
      </c>
    </row>
    <row r="390" spans="1:7" x14ac:dyDescent="0.3">
      <c r="A390" s="8">
        <v>46138</v>
      </c>
      <c r="B390" t="s">
        <v>2269</v>
      </c>
      <c r="C390" t="s">
        <v>1201</v>
      </c>
      <c r="D390" t="s">
        <v>2270</v>
      </c>
      <c r="E390" s="13">
        <v>122824.83</v>
      </c>
      <c r="F390">
        <v>1100</v>
      </c>
      <c r="G390" t="s">
        <v>2271</v>
      </c>
    </row>
    <row r="391" spans="1:7" x14ac:dyDescent="0.3">
      <c r="A391" s="8">
        <v>46138</v>
      </c>
      <c r="B391" t="s">
        <v>2272</v>
      </c>
      <c r="C391" t="s">
        <v>1208</v>
      </c>
      <c r="D391" t="s">
        <v>2273</v>
      </c>
      <c r="E391" s="13">
        <v>42186.98</v>
      </c>
      <c r="F391">
        <v>2000</v>
      </c>
      <c r="G391" t="s">
        <v>2274</v>
      </c>
    </row>
    <row r="392" spans="1:7" x14ac:dyDescent="0.3">
      <c r="A392" s="8">
        <v>46138</v>
      </c>
      <c r="B392" t="s">
        <v>2275</v>
      </c>
      <c r="C392" t="s">
        <v>1212</v>
      </c>
      <c r="D392" t="s">
        <v>1444</v>
      </c>
      <c r="E392" s="13">
        <v>36203.839999999997</v>
      </c>
      <c r="F392">
        <v>6700</v>
      </c>
      <c r="G392" t="s">
        <v>2276</v>
      </c>
    </row>
    <row r="393" spans="1:7" x14ac:dyDescent="0.3">
      <c r="A393" s="8">
        <v>46139</v>
      </c>
      <c r="B393" t="s">
        <v>2277</v>
      </c>
      <c r="C393" t="s">
        <v>1238</v>
      </c>
      <c r="D393" t="s">
        <v>1898</v>
      </c>
      <c r="E393" s="13">
        <v>-1731.32</v>
      </c>
      <c r="F393">
        <v>6600</v>
      </c>
      <c r="G393" t="s">
        <v>2278</v>
      </c>
    </row>
    <row r="394" spans="1:7" x14ac:dyDescent="0.3">
      <c r="A394" s="8">
        <v>46139</v>
      </c>
      <c r="B394" t="s">
        <v>2279</v>
      </c>
      <c r="C394" t="s">
        <v>1288</v>
      </c>
      <c r="D394" t="s">
        <v>2280</v>
      </c>
      <c r="E394" s="13">
        <v>47525.95</v>
      </c>
      <c r="F394">
        <v>6800</v>
      </c>
      <c r="G394" t="s">
        <v>2281</v>
      </c>
    </row>
    <row r="395" spans="1:7" x14ac:dyDescent="0.3">
      <c r="A395" s="8">
        <v>46139</v>
      </c>
      <c r="B395" t="s">
        <v>2282</v>
      </c>
      <c r="C395" t="s">
        <v>1227</v>
      </c>
      <c r="D395" t="s">
        <v>2283</v>
      </c>
      <c r="E395" s="13">
        <v>11706.63</v>
      </c>
      <c r="F395">
        <v>6200</v>
      </c>
      <c r="G395" t="s">
        <v>2284</v>
      </c>
    </row>
    <row r="396" spans="1:7" x14ac:dyDescent="0.3">
      <c r="A396" s="8">
        <v>46139</v>
      </c>
      <c r="B396" t="s">
        <v>2285</v>
      </c>
      <c r="C396" t="s">
        <v>1251</v>
      </c>
      <c r="D396" t="s">
        <v>2286</v>
      </c>
      <c r="E396" s="13">
        <v>55266.26</v>
      </c>
      <c r="F396">
        <v>1100</v>
      </c>
      <c r="G396" t="s">
        <v>2287</v>
      </c>
    </row>
    <row r="397" spans="1:7" x14ac:dyDescent="0.3">
      <c r="A397" s="8">
        <v>46140</v>
      </c>
      <c r="B397" t="s">
        <v>2288</v>
      </c>
      <c r="C397" t="s">
        <v>1234</v>
      </c>
      <c r="D397" t="s">
        <v>2289</v>
      </c>
      <c r="E397" s="13">
        <v>87162.94</v>
      </c>
      <c r="F397">
        <v>9999</v>
      </c>
      <c r="G397" t="s">
        <v>2290</v>
      </c>
    </row>
    <row r="398" spans="1:7" x14ac:dyDescent="0.3">
      <c r="A398" s="8">
        <v>46140</v>
      </c>
      <c r="B398" t="s">
        <v>2291</v>
      </c>
      <c r="C398" t="s">
        <v>1212</v>
      </c>
      <c r="D398" t="s">
        <v>2292</v>
      </c>
      <c r="E398" s="13">
        <v>87751.39</v>
      </c>
      <c r="F398">
        <v>2000</v>
      </c>
      <c r="G398" t="s">
        <v>2293</v>
      </c>
    </row>
    <row r="399" spans="1:7" x14ac:dyDescent="0.3">
      <c r="A399" s="8">
        <v>46140</v>
      </c>
      <c r="B399" t="s">
        <v>2294</v>
      </c>
      <c r="C399" t="s">
        <v>1251</v>
      </c>
      <c r="D399" t="s">
        <v>2295</v>
      </c>
      <c r="E399" s="13">
        <v>31273.84</v>
      </c>
      <c r="F399">
        <v>1100</v>
      </c>
      <c r="G399" t="s">
        <v>2296</v>
      </c>
    </row>
    <row r="400" spans="1:7" x14ac:dyDescent="0.3">
      <c r="A400" s="8">
        <v>46142</v>
      </c>
      <c r="B400" t="s">
        <v>2297</v>
      </c>
      <c r="C400" t="s">
        <v>1208</v>
      </c>
      <c r="D400" t="s">
        <v>1209</v>
      </c>
      <c r="E400" s="13">
        <v>40605</v>
      </c>
      <c r="F400">
        <v>6100</v>
      </c>
      <c r="G400" t="s">
        <v>2298</v>
      </c>
    </row>
    <row r="401" spans="1:7" x14ac:dyDescent="0.3">
      <c r="A401" s="8">
        <v>46142</v>
      </c>
      <c r="B401" t="s">
        <v>2299</v>
      </c>
      <c r="C401" t="s">
        <v>1212</v>
      </c>
      <c r="D401" t="s">
        <v>1444</v>
      </c>
      <c r="E401" s="13">
        <v>6519.28</v>
      </c>
      <c r="F401">
        <v>6800</v>
      </c>
      <c r="G401" t="s">
        <v>2300</v>
      </c>
    </row>
    <row r="402" spans="1:7" x14ac:dyDescent="0.3">
      <c r="A402" s="8">
        <v>46035</v>
      </c>
      <c r="B402" t="s">
        <v>2301</v>
      </c>
      <c r="C402" t="s">
        <v>1212</v>
      </c>
      <c r="D402" t="s">
        <v>1213</v>
      </c>
      <c r="E402" s="13">
        <v>37832.04</v>
      </c>
      <c r="F402">
        <v>6100</v>
      </c>
      <c r="G402" t="s">
        <v>1341</v>
      </c>
    </row>
    <row r="403" spans="1:7" x14ac:dyDescent="0.3">
      <c r="A403" s="8">
        <v>46068</v>
      </c>
      <c r="B403" t="s">
        <v>2302</v>
      </c>
      <c r="C403" t="s">
        <v>1208</v>
      </c>
      <c r="D403" t="s">
        <v>1633</v>
      </c>
      <c r="E403" s="13">
        <v>168892.61</v>
      </c>
      <c r="F403">
        <v>1100</v>
      </c>
      <c r="G403" t="s">
        <v>1634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CC629-BDAD-4436-96F3-DCF2579CB779}">
  <dimension ref="A1:H201"/>
  <sheetViews>
    <sheetView workbookViewId="0"/>
  </sheetViews>
  <sheetFormatPr defaultRowHeight="14.4" x14ac:dyDescent="0.3"/>
  <cols>
    <col min="1" max="1" width="10.88671875" bestFit="1" customWidth="1"/>
    <col min="2" max="2" width="20.33203125" bestFit="1" customWidth="1"/>
    <col min="3" max="3" width="11.21875" bestFit="1" customWidth="1"/>
    <col min="4" max="4" width="10.33203125" bestFit="1" customWidth="1"/>
    <col min="5" max="5" width="16.5546875" bestFit="1" customWidth="1"/>
    <col min="6" max="6" width="10" bestFit="1" customWidth="1"/>
    <col min="7" max="7" width="8.109375" bestFit="1" customWidth="1"/>
    <col min="8" max="8" width="12.5546875" bestFit="1" customWidth="1"/>
  </cols>
  <sheetData>
    <row r="1" spans="1:8" x14ac:dyDescent="0.3">
      <c r="A1" s="6" t="s">
        <v>2303</v>
      </c>
      <c r="B1" s="6" t="s">
        <v>2304</v>
      </c>
      <c r="C1" s="6" t="s">
        <v>2305</v>
      </c>
      <c r="D1" s="6" t="s">
        <v>2306</v>
      </c>
      <c r="E1" s="6" t="s">
        <v>2307</v>
      </c>
      <c r="F1" s="6" t="s">
        <v>81</v>
      </c>
      <c r="G1" s="6" t="s">
        <v>84</v>
      </c>
      <c r="H1" s="6" t="s">
        <v>2308</v>
      </c>
    </row>
    <row r="2" spans="1:8" x14ac:dyDescent="0.3">
      <c r="A2" t="s">
        <v>2309</v>
      </c>
      <c r="B2" t="s">
        <v>2310</v>
      </c>
      <c r="C2" s="8">
        <v>46296</v>
      </c>
      <c r="D2" s="8">
        <v>46061</v>
      </c>
      <c r="F2" s="13">
        <v>5474.48</v>
      </c>
      <c r="G2" t="s">
        <v>142</v>
      </c>
    </row>
    <row r="3" spans="1:8" x14ac:dyDescent="0.3">
      <c r="A3" t="s">
        <v>2311</v>
      </c>
      <c r="B3" t="s">
        <v>2312</v>
      </c>
      <c r="C3" s="8">
        <v>46033</v>
      </c>
      <c r="D3" s="8">
        <v>46063</v>
      </c>
      <c r="E3" t="s">
        <v>2313</v>
      </c>
      <c r="F3" s="13">
        <v>3732.45</v>
      </c>
      <c r="G3" t="s">
        <v>142</v>
      </c>
    </row>
    <row r="4" spans="1:8" x14ac:dyDescent="0.3">
      <c r="A4" t="s">
        <v>2314</v>
      </c>
      <c r="B4" t="s">
        <v>2315</v>
      </c>
      <c r="C4" s="8">
        <v>46049</v>
      </c>
      <c r="D4" s="8">
        <v>46079</v>
      </c>
      <c r="E4" t="s">
        <v>2316</v>
      </c>
      <c r="F4" s="13">
        <v>32942.519999999997</v>
      </c>
      <c r="G4" t="s">
        <v>2317</v>
      </c>
    </row>
    <row r="5" spans="1:8" x14ac:dyDescent="0.3">
      <c r="A5" t="s">
        <v>2318</v>
      </c>
      <c r="B5" t="s">
        <v>2319</v>
      </c>
      <c r="C5" s="8">
        <v>46045</v>
      </c>
      <c r="D5" s="8">
        <v>46075</v>
      </c>
      <c r="E5" t="s">
        <v>2320</v>
      </c>
      <c r="F5" s="13">
        <v>52311.63</v>
      </c>
      <c r="G5" t="s">
        <v>142</v>
      </c>
    </row>
    <row r="6" spans="1:8" x14ac:dyDescent="0.3">
      <c r="A6" t="s">
        <v>2321</v>
      </c>
      <c r="B6" t="s">
        <v>2322</v>
      </c>
      <c r="C6" s="8">
        <v>46025</v>
      </c>
      <c r="D6" s="8">
        <v>46055</v>
      </c>
      <c r="E6" t="s">
        <v>2323</v>
      </c>
      <c r="F6" s="13">
        <v>131486.57</v>
      </c>
      <c r="G6" t="s">
        <v>2324</v>
      </c>
    </row>
    <row r="7" spans="1:8" x14ac:dyDescent="0.3">
      <c r="A7" t="s">
        <v>2325</v>
      </c>
      <c r="B7" t="s">
        <v>2312</v>
      </c>
      <c r="C7" s="8">
        <v>46047</v>
      </c>
      <c r="D7" s="8">
        <v>46077</v>
      </c>
      <c r="E7" t="s">
        <v>2326</v>
      </c>
      <c r="F7" s="13">
        <v>112212.72</v>
      </c>
      <c r="G7" t="s">
        <v>2324</v>
      </c>
    </row>
    <row r="8" spans="1:8" x14ac:dyDescent="0.3">
      <c r="A8" t="s">
        <v>2327</v>
      </c>
      <c r="B8" t="s">
        <v>2328</v>
      </c>
      <c r="C8" s="8">
        <v>46033</v>
      </c>
      <c r="D8" s="8">
        <v>46063</v>
      </c>
      <c r="E8" t="s">
        <v>2329</v>
      </c>
      <c r="F8" s="13">
        <v>23910.74</v>
      </c>
      <c r="G8" t="s">
        <v>2317</v>
      </c>
    </row>
    <row r="9" spans="1:8" x14ac:dyDescent="0.3">
      <c r="A9" t="s">
        <v>2330</v>
      </c>
      <c r="B9" t="s">
        <v>2331</v>
      </c>
      <c r="C9" s="8">
        <v>46043</v>
      </c>
      <c r="D9" s="8">
        <v>46073</v>
      </c>
      <c r="E9" t="s">
        <v>2332</v>
      </c>
      <c r="F9" s="13">
        <v>39409.97</v>
      </c>
      <c r="G9" t="s">
        <v>2333</v>
      </c>
    </row>
    <row r="10" spans="1:8" x14ac:dyDescent="0.3">
      <c r="A10" t="s">
        <v>2334</v>
      </c>
      <c r="B10" t="s">
        <v>2335</v>
      </c>
      <c r="C10" s="8">
        <v>46022</v>
      </c>
      <c r="D10" s="8">
        <v>46052</v>
      </c>
      <c r="E10" t="s">
        <v>2336</v>
      </c>
      <c r="F10" s="13">
        <v>41976.17</v>
      </c>
      <c r="G10" t="s">
        <v>2337</v>
      </c>
      <c r="H10" s="8">
        <v>46061</v>
      </c>
    </row>
    <row r="11" spans="1:8" x14ac:dyDescent="0.3">
      <c r="A11" t="s">
        <v>2338</v>
      </c>
      <c r="B11" t="s">
        <v>2339</v>
      </c>
      <c r="C11" s="8">
        <v>46048</v>
      </c>
      <c r="D11" s="8">
        <v>46078</v>
      </c>
      <c r="E11" t="s">
        <v>2340</v>
      </c>
      <c r="F11" s="13">
        <v>118676.01</v>
      </c>
      <c r="G11" t="s">
        <v>2317</v>
      </c>
    </row>
    <row r="12" spans="1:8" x14ac:dyDescent="0.3">
      <c r="A12" t="s">
        <v>2341</v>
      </c>
      <c r="B12" t="s">
        <v>2339</v>
      </c>
      <c r="C12" s="8">
        <v>46046</v>
      </c>
      <c r="D12" s="8">
        <v>46076</v>
      </c>
      <c r="E12" t="s">
        <v>2342</v>
      </c>
      <c r="F12" s="13">
        <v>46462.39</v>
      </c>
      <c r="G12" t="s">
        <v>2324</v>
      </c>
    </row>
    <row r="13" spans="1:8" x14ac:dyDescent="0.3">
      <c r="A13" t="s">
        <v>2343</v>
      </c>
      <c r="B13" t="s">
        <v>2339</v>
      </c>
      <c r="C13" s="8">
        <v>46022</v>
      </c>
      <c r="D13" s="8">
        <v>46052</v>
      </c>
      <c r="E13" t="s">
        <v>2316</v>
      </c>
      <c r="F13" s="13">
        <v>89066.83</v>
      </c>
      <c r="G13" t="s">
        <v>142</v>
      </c>
    </row>
    <row r="14" spans="1:8" x14ac:dyDescent="0.3">
      <c r="A14" t="s">
        <v>2344</v>
      </c>
      <c r="B14" t="s">
        <v>2335</v>
      </c>
      <c r="C14" s="8">
        <v>46027</v>
      </c>
      <c r="D14" s="8">
        <v>46057</v>
      </c>
      <c r="E14" t="s">
        <v>2345</v>
      </c>
      <c r="F14" s="13">
        <v>115637.34</v>
      </c>
      <c r="G14" t="s">
        <v>142</v>
      </c>
    </row>
    <row r="15" spans="1:8" x14ac:dyDescent="0.3">
      <c r="A15" t="s">
        <v>2346</v>
      </c>
      <c r="B15" t="s">
        <v>2347</v>
      </c>
      <c r="C15" s="8">
        <v>46040</v>
      </c>
      <c r="D15" s="8">
        <v>46070</v>
      </c>
      <c r="E15" t="s">
        <v>2348</v>
      </c>
      <c r="F15" s="13">
        <v>50642.1</v>
      </c>
      <c r="G15" t="s">
        <v>2317</v>
      </c>
    </row>
    <row r="16" spans="1:8" x14ac:dyDescent="0.3">
      <c r="A16" t="s">
        <v>2349</v>
      </c>
      <c r="B16" t="s">
        <v>2350</v>
      </c>
      <c r="C16" s="8">
        <v>46023</v>
      </c>
      <c r="D16" s="8">
        <v>46053</v>
      </c>
      <c r="E16" t="s">
        <v>2351</v>
      </c>
      <c r="F16" s="13">
        <v>37536.800000000003</v>
      </c>
      <c r="G16" t="s">
        <v>2324</v>
      </c>
    </row>
    <row r="17" spans="1:8" x14ac:dyDescent="0.3">
      <c r="A17" t="s">
        <v>2352</v>
      </c>
      <c r="B17" t="s">
        <v>2339</v>
      </c>
      <c r="C17" s="8">
        <v>46043</v>
      </c>
      <c r="D17" s="8">
        <v>46073</v>
      </c>
      <c r="E17" t="s">
        <v>2353</v>
      </c>
      <c r="F17" s="13">
        <v>79396.899999999994</v>
      </c>
      <c r="G17" t="s">
        <v>2337</v>
      </c>
      <c r="H17" s="8">
        <v>46081</v>
      </c>
    </row>
    <row r="18" spans="1:8" x14ac:dyDescent="0.3">
      <c r="A18" t="s">
        <v>2354</v>
      </c>
      <c r="B18" t="s">
        <v>2315</v>
      </c>
      <c r="C18" s="8">
        <v>46027</v>
      </c>
      <c r="D18" s="8">
        <v>46057</v>
      </c>
      <c r="E18" t="s">
        <v>2355</v>
      </c>
      <c r="F18" s="13">
        <v>68995.600000000006</v>
      </c>
      <c r="G18" t="s">
        <v>2337</v>
      </c>
      <c r="H18" s="8">
        <v>46054</v>
      </c>
    </row>
    <row r="19" spans="1:8" x14ac:dyDescent="0.3">
      <c r="A19" t="s">
        <v>2356</v>
      </c>
      <c r="B19" t="s">
        <v>2357</v>
      </c>
      <c r="C19" s="8">
        <v>46034</v>
      </c>
      <c r="D19" s="8">
        <v>46064</v>
      </c>
      <c r="E19" t="s">
        <v>2358</v>
      </c>
      <c r="F19" s="13">
        <v>25272.91</v>
      </c>
      <c r="G19" t="s">
        <v>2324</v>
      </c>
    </row>
    <row r="20" spans="1:8" x14ac:dyDescent="0.3">
      <c r="A20" t="s">
        <v>2359</v>
      </c>
      <c r="B20" t="s">
        <v>2357</v>
      </c>
      <c r="C20" s="8">
        <v>46037</v>
      </c>
      <c r="D20" s="8">
        <v>46067</v>
      </c>
      <c r="E20" t="s">
        <v>2360</v>
      </c>
      <c r="F20" s="13">
        <v>104850.51</v>
      </c>
      <c r="G20" t="s">
        <v>2317</v>
      </c>
    </row>
    <row r="21" spans="1:8" x14ac:dyDescent="0.3">
      <c r="A21" t="s">
        <v>2361</v>
      </c>
      <c r="B21" t="s">
        <v>2322</v>
      </c>
      <c r="C21" s="8">
        <v>46034</v>
      </c>
      <c r="D21" s="8">
        <v>46064</v>
      </c>
      <c r="E21" t="s">
        <v>2362</v>
      </c>
      <c r="F21" s="13">
        <v>103901.25</v>
      </c>
      <c r="G21" t="s">
        <v>2337</v>
      </c>
      <c r="H21" s="8">
        <v>46067</v>
      </c>
    </row>
    <row r="22" spans="1:8" x14ac:dyDescent="0.3">
      <c r="A22" t="s">
        <v>2363</v>
      </c>
      <c r="B22" t="s">
        <v>2364</v>
      </c>
      <c r="C22" s="8">
        <v>46028</v>
      </c>
      <c r="D22" s="8">
        <v>46058</v>
      </c>
      <c r="E22" t="s">
        <v>2365</v>
      </c>
      <c r="F22" s="13">
        <v>72407.75</v>
      </c>
      <c r="G22" t="s">
        <v>2324</v>
      </c>
    </row>
    <row r="23" spans="1:8" x14ac:dyDescent="0.3">
      <c r="A23" t="s">
        <v>2366</v>
      </c>
      <c r="B23" t="s">
        <v>2312</v>
      </c>
      <c r="C23" s="8">
        <v>46044</v>
      </c>
      <c r="D23" s="8">
        <v>46074</v>
      </c>
      <c r="E23" t="s">
        <v>2367</v>
      </c>
      <c r="F23" s="13">
        <v>116465.03</v>
      </c>
      <c r="G23" t="s">
        <v>142</v>
      </c>
    </row>
    <row r="24" spans="1:8" x14ac:dyDescent="0.3">
      <c r="A24" t="s">
        <v>2368</v>
      </c>
      <c r="B24" t="s">
        <v>2369</v>
      </c>
      <c r="C24" s="8">
        <v>46047</v>
      </c>
      <c r="D24" s="8">
        <v>46077</v>
      </c>
      <c r="E24" t="s">
        <v>2370</v>
      </c>
      <c r="F24" s="13">
        <v>33466.06</v>
      </c>
      <c r="G24" t="s">
        <v>2324</v>
      </c>
    </row>
    <row r="25" spans="1:8" x14ac:dyDescent="0.3">
      <c r="A25" t="s">
        <v>2371</v>
      </c>
      <c r="B25" t="s">
        <v>2312</v>
      </c>
      <c r="C25" s="8">
        <v>46040</v>
      </c>
      <c r="D25" s="8">
        <v>46070</v>
      </c>
      <c r="E25" t="s">
        <v>2372</v>
      </c>
      <c r="F25" s="13">
        <v>144754.79999999999</v>
      </c>
      <c r="G25" t="s">
        <v>2337</v>
      </c>
      <c r="H25" s="8">
        <v>46075</v>
      </c>
    </row>
    <row r="26" spans="1:8" x14ac:dyDescent="0.3">
      <c r="A26" t="s">
        <v>2373</v>
      </c>
      <c r="B26" t="s">
        <v>2369</v>
      </c>
      <c r="C26" s="8">
        <v>46041</v>
      </c>
      <c r="D26" s="8">
        <v>46071</v>
      </c>
      <c r="E26" t="s">
        <v>2374</v>
      </c>
      <c r="F26" s="13">
        <v>10682.27</v>
      </c>
      <c r="G26" t="s">
        <v>142</v>
      </c>
    </row>
    <row r="27" spans="1:8" x14ac:dyDescent="0.3">
      <c r="A27" t="s">
        <v>2375</v>
      </c>
      <c r="B27" t="s">
        <v>2328</v>
      </c>
      <c r="C27" s="8">
        <v>46045</v>
      </c>
      <c r="D27" s="8">
        <v>46075</v>
      </c>
      <c r="F27" s="13">
        <v>5788.92</v>
      </c>
      <c r="G27" t="s">
        <v>2333</v>
      </c>
    </row>
    <row r="28" spans="1:8" x14ac:dyDescent="0.3">
      <c r="A28" t="s">
        <v>2376</v>
      </c>
      <c r="B28" t="s">
        <v>2377</v>
      </c>
      <c r="C28" s="8">
        <v>46022</v>
      </c>
      <c r="D28" s="8">
        <v>46052</v>
      </c>
      <c r="E28" t="s">
        <v>2378</v>
      </c>
      <c r="F28" s="13">
        <v>123404.21</v>
      </c>
      <c r="G28" t="s">
        <v>2324</v>
      </c>
    </row>
    <row r="29" spans="1:8" x14ac:dyDescent="0.3">
      <c r="A29" t="s">
        <v>2379</v>
      </c>
      <c r="B29" t="s">
        <v>2319</v>
      </c>
      <c r="C29" s="8">
        <v>46032</v>
      </c>
      <c r="D29" s="8">
        <v>46062</v>
      </c>
      <c r="E29" t="s">
        <v>2380</v>
      </c>
      <c r="F29" s="13">
        <v>75978.23</v>
      </c>
      <c r="G29" t="s">
        <v>2333</v>
      </c>
    </row>
    <row r="30" spans="1:8" x14ac:dyDescent="0.3">
      <c r="A30" t="s">
        <v>2381</v>
      </c>
      <c r="B30" t="s">
        <v>2364</v>
      </c>
      <c r="C30" s="8">
        <v>46045</v>
      </c>
      <c r="D30" s="8">
        <v>46075</v>
      </c>
      <c r="E30" t="s">
        <v>2382</v>
      </c>
      <c r="F30" s="13">
        <v>13482.84</v>
      </c>
      <c r="G30" t="s">
        <v>2337</v>
      </c>
      <c r="H30" s="8">
        <v>46079</v>
      </c>
    </row>
    <row r="31" spans="1:8" x14ac:dyDescent="0.3">
      <c r="A31" t="s">
        <v>2383</v>
      </c>
      <c r="B31" t="s">
        <v>2347</v>
      </c>
      <c r="C31" s="8">
        <v>46028</v>
      </c>
      <c r="D31" s="8">
        <v>46058</v>
      </c>
      <c r="E31" t="s">
        <v>2342</v>
      </c>
      <c r="F31" s="13">
        <v>62585.15</v>
      </c>
      <c r="G31" t="s">
        <v>2324</v>
      </c>
    </row>
    <row r="32" spans="1:8" x14ac:dyDescent="0.3">
      <c r="A32" t="s">
        <v>2384</v>
      </c>
      <c r="B32" t="s">
        <v>2369</v>
      </c>
      <c r="C32" s="8">
        <v>46029</v>
      </c>
      <c r="D32" s="8">
        <v>46059</v>
      </c>
      <c r="E32" t="s">
        <v>2385</v>
      </c>
      <c r="F32" s="13">
        <v>112506.62</v>
      </c>
      <c r="G32" t="s">
        <v>2333</v>
      </c>
    </row>
    <row r="33" spans="1:8" x14ac:dyDescent="0.3">
      <c r="A33" t="s">
        <v>2386</v>
      </c>
      <c r="B33" t="s">
        <v>2364</v>
      </c>
      <c r="C33" s="8">
        <v>46039</v>
      </c>
      <c r="D33" s="8">
        <v>46069</v>
      </c>
      <c r="E33" t="s">
        <v>2387</v>
      </c>
      <c r="F33" s="13">
        <v>122383.96</v>
      </c>
      <c r="G33" t="s">
        <v>142</v>
      </c>
    </row>
    <row r="34" spans="1:8" x14ac:dyDescent="0.3">
      <c r="A34" t="s">
        <v>2388</v>
      </c>
      <c r="B34" t="s">
        <v>2369</v>
      </c>
      <c r="C34" s="8">
        <v>46041</v>
      </c>
      <c r="D34" s="8">
        <v>46071</v>
      </c>
      <c r="E34" t="s">
        <v>2389</v>
      </c>
      <c r="F34" s="13">
        <v>3525.8</v>
      </c>
      <c r="G34" t="s">
        <v>2333</v>
      </c>
    </row>
    <row r="35" spans="1:8" x14ac:dyDescent="0.3">
      <c r="A35" t="s">
        <v>2390</v>
      </c>
      <c r="B35" t="s">
        <v>2319</v>
      </c>
      <c r="C35" s="8">
        <v>46035</v>
      </c>
      <c r="D35" s="8">
        <v>46065</v>
      </c>
      <c r="E35" t="s">
        <v>2391</v>
      </c>
      <c r="F35" s="13">
        <v>96186.51</v>
      </c>
      <c r="G35" t="s">
        <v>2337</v>
      </c>
      <c r="H35" s="8">
        <v>46062</v>
      </c>
    </row>
    <row r="36" spans="1:8" x14ac:dyDescent="0.3">
      <c r="A36" t="s">
        <v>2392</v>
      </c>
      <c r="B36" t="s">
        <v>2328</v>
      </c>
      <c r="C36" s="8">
        <v>46047</v>
      </c>
      <c r="D36" s="8">
        <v>46077</v>
      </c>
      <c r="E36" t="s">
        <v>2393</v>
      </c>
      <c r="F36" s="13">
        <v>147023.54999999999</v>
      </c>
      <c r="G36" t="s">
        <v>2324</v>
      </c>
    </row>
    <row r="37" spans="1:8" x14ac:dyDescent="0.3">
      <c r="A37" t="s">
        <v>2394</v>
      </c>
      <c r="B37" t="s">
        <v>2350</v>
      </c>
      <c r="C37" t="s">
        <v>2395</v>
      </c>
      <c r="D37" s="8">
        <v>46068</v>
      </c>
      <c r="E37" t="s">
        <v>2396</v>
      </c>
      <c r="F37" s="13">
        <v>5235.74</v>
      </c>
      <c r="G37" t="s">
        <v>2324</v>
      </c>
    </row>
    <row r="38" spans="1:8" x14ac:dyDescent="0.3">
      <c r="A38" t="s">
        <v>2397</v>
      </c>
      <c r="B38" t="s">
        <v>2377</v>
      </c>
      <c r="C38" s="8">
        <v>46026</v>
      </c>
      <c r="D38" s="8">
        <v>46056</v>
      </c>
      <c r="E38" t="s">
        <v>2398</v>
      </c>
      <c r="F38" s="13">
        <v>71800.52</v>
      </c>
      <c r="G38" t="s">
        <v>142</v>
      </c>
    </row>
    <row r="39" spans="1:8" x14ac:dyDescent="0.3">
      <c r="A39" t="s">
        <v>2399</v>
      </c>
      <c r="B39" t="s">
        <v>2312</v>
      </c>
      <c r="C39" s="8">
        <v>46040</v>
      </c>
      <c r="D39" s="8">
        <v>46070</v>
      </c>
      <c r="E39" t="s">
        <v>2400</v>
      </c>
      <c r="F39" s="13">
        <v>73454.42</v>
      </c>
      <c r="G39" t="s">
        <v>142</v>
      </c>
    </row>
    <row r="40" spans="1:8" x14ac:dyDescent="0.3">
      <c r="A40" t="s">
        <v>2401</v>
      </c>
      <c r="B40" t="s">
        <v>2350</v>
      </c>
      <c r="C40" s="8">
        <v>46039</v>
      </c>
      <c r="D40" s="8">
        <v>46069</v>
      </c>
      <c r="E40" t="s">
        <v>2402</v>
      </c>
      <c r="F40" s="13">
        <v>136442.78</v>
      </c>
      <c r="G40" t="s">
        <v>2317</v>
      </c>
    </row>
    <row r="41" spans="1:8" x14ac:dyDescent="0.3">
      <c r="A41" t="s">
        <v>2403</v>
      </c>
      <c r="B41" t="s">
        <v>2310</v>
      </c>
      <c r="C41" s="8">
        <v>46036</v>
      </c>
      <c r="D41" s="8">
        <v>46066</v>
      </c>
      <c r="E41" t="s">
        <v>2404</v>
      </c>
      <c r="F41" s="13">
        <v>9859.5300000000007</v>
      </c>
      <c r="G41" t="s">
        <v>2317</v>
      </c>
    </row>
    <row r="42" spans="1:8" x14ac:dyDescent="0.3">
      <c r="A42" t="s">
        <v>2405</v>
      </c>
      <c r="B42" t="s">
        <v>2331</v>
      </c>
      <c r="C42" s="8">
        <v>46026</v>
      </c>
      <c r="D42" s="8">
        <v>46056</v>
      </c>
      <c r="E42" t="s">
        <v>2406</v>
      </c>
      <c r="F42" s="13">
        <v>69544.009999999995</v>
      </c>
      <c r="G42" t="s">
        <v>142</v>
      </c>
    </row>
    <row r="43" spans="1:8" x14ac:dyDescent="0.3">
      <c r="A43" t="s">
        <v>2407</v>
      </c>
      <c r="B43" t="s">
        <v>2357</v>
      </c>
      <c r="C43" s="8">
        <v>46030</v>
      </c>
      <c r="D43" s="8">
        <v>46060</v>
      </c>
      <c r="E43" t="s">
        <v>2408</v>
      </c>
      <c r="F43" s="13">
        <v>103819.64</v>
      </c>
      <c r="G43" t="s">
        <v>142</v>
      </c>
    </row>
    <row r="44" spans="1:8" x14ac:dyDescent="0.3">
      <c r="A44" t="s">
        <v>2409</v>
      </c>
      <c r="B44" t="s">
        <v>2347</v>
      </c>
      <c r="C44" s="8">
        <v>46027</v>
      </c>
      <c r="D44" s="8">
        <v>46057</v>
      </c>
      <c r="E44" t="s">
        <v>2410</v>
      </c>
      <c r="F44" s="13">
        <v>3487.02</v>
      </c>
      <c r="G44" t="s">
        <v>2324</v>
      </c>
    </row>
    <row r="45" spans="1:8" x14ac:dyDescent="0.3">
      <c r="A45" t="s">
        <v>2411</v>
      </c>
      <c r="B45" t="s">
        <v>2335</v>
      </c>
      <c r="C45" s="8">
        <v>46041</v>
      </c>
      <c r="D45" s="8">
        <v>46071</v>
      </c>
      <c r="E45" t="s">
        <v>2412</v>
      </c>
      <c r="F45" s="13">
        <v>117839.7</v>
      </c>
      <c r="G45" t="s">
        <v>2324</v>
      </c>
    </row>
    <row r="46" spans="1:8" x14ac:dyDescent="0.3">
      <c r="A46" t="s">
        <v>2413</v>
      </c>
      <c r="B46" t="s">
        <v>2322</v>
      </c>
      <c r="C46" s="8">
        <v>46048</v>
      </c>
      <c r="D46" s="8">
        <v>46078</v>
      </c>
      <c r="E46" t="s">
        <v>2414</v>
      </c>
      <c r="F46" s="13">
        <v>132478.42000000001</v>
      </c>
      <c r="G46" t="s">
        <v>142</v>
      </c>
    </row>
    <row r="47" spans="1:8" x14ac:dyDescent="0.3">
      <c r="A47" t="s">
        <v>2415</v>
      </c>
      <c r="B47" t="s">
        <v>2369</v>
      </c>
      <c r="C47" s="8">
        <v>46046</v>
      </c>
      <c r="D47" s="8">
        <v>46076</v>
      </c>
      <c r="E47" t="s">
        <v>2416</v>
      </c>
      <c r="F47" s="13">
        <v>116868.84</v>
      </c>
      <c r="G47" t="s">
        <v>2337</v>
      </c>
      <c r="H47" s="8">
        <v>46078</v>
      </c>
    </row>
    <row r="48" spans="1:8" x14ac:dyDescent="0.3">
      <c r="A48" t="s">
        <v>2417</v>
      </c>
      <c r="B48" t="s">
        <v>2377</v>
      </c>
      <c r="C48" s="8">
        <v>46034</v>
      </c>
      <c r="D48" s="8">
        <v>46064</v>
      </c>
      <c r="E48" t="s">
        <v>2418</v>
      </c>
      <c r="F48" s="13">
        <v>126042.11</v>
      </c>
      <c r="G48" t="s">
        <v>2324</v>
      </c>
    </row>
    <row r="49" spans="1:8" x14ac:dyDescent="0.3">
      <c r="A49" t="s">
        <v>2419</v>
      </c>
      <c r="B49" t="s">
        <v>2350</v>
      </c>
      <c r="C49" s="8">
        <v>46029</v>
      </c>
      <c r="D49" s="8">
        <v>46059</v>
      </c>
      <c r="E49" t="s">
        <v>2420</v>
      </c>
      <c r="F49" s="13">
        <v>36337.53</v>
      </c>
      <c r="G49" t="s">
        <v>2337</v>
      </c>
      <c r="H49" s="8">
        <v>46066</v>
      </c>
    </row>
    <row r="50" spans="1:8" x14ac:dyDescent="0.3">
      <c r="A50" t="s">
        <v>2421</v>
      </c>
      <c r="B50" t="s">
        <v>2328</v>
      </c>
      <c r="C50" s="8">
        <v>46044</v>
      </c>
      <c r="D50" s="8">
        <v>46074</v>
      </c>
      <c r="E50" t="s">
        <v>2422</v>
      </c>
      <c r="F50" s="13">
        <v>52717.19</v>
      </c>
      <c r="G50" t="s">
        <v>2324</v>
      </c>
    </row>
    <row r="51" spans="1:8" x14ac:dyDescent="0.3">
      <c r="A51" t="s">
        <v>2423</v>
      </c>
      <c r="B51" t="s">
        <v>2364</v>
      </c>
      <c r="C51" s="8">
        <v>46029</v>
      </c>
      <c r="D51" s="8">
        <v>46059</v>
      </c>
      <c r="E51" t="s">
        <v>2424</v>
      </c>
      <c r="F51" s="13">
        <v>127742.39</v>
      </c>
      <c r="G51" t="s">
        <v>2337</v>
      </c>
      <c r="H51" s="8">
        <v>46064</v>
      </c>
    </row>
    <row r="52" spans="1:8" x14ac:dyDescent="0.3">
      <c r="A52" t="s">
        <v>2421</v>
      </c>
      <c r="B52" t="s">
        <v>2369</v>
      </c>
      <c r="C52" s="8">
        <v>46071</v>
      </c>
      <c r="D52" s="8">
        <v>46101</v>
      </c>
      <c r="F52" s="13">
        <v>133669.18</v>
      </c>
      <c r="G52" t="s">
        <v>2337</v>
      </c>
      <c r="H52" s="8">
        <v>46110</v>
      </c>
    </row>
    <row r="53" spans="1:8" x14ac:dyDescent="0.3">
      <c r="A53" t="s">
        <v>2425</v>
      </c>
      <c r="B53" t="s">
        <v>2312</v>
      </c>
      <c r="C53" s="8">
        <v>46055</v>
      </c>
      <c r="D53" s="8">
        <v>46085</v>
      </c>
      <c r="E53" t="s">
        <v>2426</v>
      </c>
      <c r="F53" s="13">
        <v>116916.91</v>
      </c>
      <c r="G53" t="s">
        <v>142</v>
      </c>
    </row>
    <row r="54" spans="1:8" x14ac:dyDescent="0.3">
      <c r="A54" t="s">
        <v>2427</v>
      </c>
      <c r="B54" t="s">
        <v>2328</v>
      </c>
      <c r="C54" s="8">
        <v>46065</v>
      </c>
      <c r="D54" s="8">
        <v>46095</v>
      </c>
      <c r="E54" t="s">
        <v>2428</v>
      </c>
      <c r="F54" s="13">
        <v>31879.56</v>
      </c>
      <c r="G54" t="s">
        <v>2324</v>
      </c>
    </row>
    <row r="55" spans="1:8" x14ac:dyDescent="0.3">
      <c r="A55" t="s">
        <v>2429</v>
      </c>
      <c r="B55" t="s">
        <v>2350</v>
      </c>
      <c r="C55" s="8">
        <v>46054</v>
      </c>
      <c r="D55" s="8">
        <v>46084</v>
      </c>
      <c r="E55" t="s">
        <v>2430</v>
      </c>
      <c r="F55" s="13">
        <v>138885.94</v>
      </c>
      <c r="G55" t="s">
        <v>142</v>
      </c>
    </row>
    <row r="56" spans="1:8" x14ac:dyDescent="0.3">
      <c r="A56" t="s">
        <v>2431</v>
      </c>
      <c r="B56" t="s">
        <v>2319</v>
      </c>
      <c r="C56" s="8">
        <v>46064</v>
      </c>
      <c r="D56" s="8">
        <v>46094</v>
      </c>
      <c r="E56" t="s">
        <v>2332</v>
      </c>
      <c r="F56" s="13">
        <v>2986.34</v>
      </c>
      <c r="G56" t="s">
        <v>2317</v>
      </c>
    </row>
    <row r="57" spans="1:8" x14ac:dyDescent="0.3">
      <c r="A57" t="s">
        <v>2432</v>
      </c>
      <c r="B57" t="s">
        <v>2322</v>
      </c>
      <c r="C57" s="8">
        <v>46058</v>
      </c>
      <c r="D57" s="8">
        <v>46088</v>
      </c>
      <c r="E57" t="s">
        <v>2433</v>
      </c>
      <c r="F57" s="13">
        <v>102198.44</v>
      </c>
      <c r="G57" t="s">
        <v>2324</v>
      </c>
    </row>
    <row r="58" spans="1:8" x14ac:dyDescent="0.3">
      <c r="A58" t="s">
        <v>2434</v>
      </c>
      <c r="B58" t="s">
        <v>2322</v>
      </c>
      <c r="C58" s="8">
        <v>46063</v>
      </c>
      <c r="D58" s="8">
        <v>46093</v>
      </c>
      <c r="E58" t="s">
        <v>2435</v>
      </c>
      <c r="F58" s="13">
        <v>109124.54</v>
      </c>
      <c r="G58" t="s">
        <v>2317</v>
      </c>
    </row>
    <row r="59" spans="1:8" x14ac:dyDescent="0.3">
      <c r="A59" t="s">
        <v>2436</v>
      </c>
      <c r="B59" t="s">
        <v>2322</v>
      </c>
      <c r="C59" s="8">
        <v>46058</v>
      </c>
      <c r="D59" s="8">
        <v>46088</v>
      </c>
      <c r="E59" t="s">
        <v>2437</v>
      </c>
      <c r="F59" s="13">
        <v>28861.06</v>
      </c>
      <c r="G59" t="s">
        <v>2333</v>
      </c>
    </row>
    <row r="60" spans="1:8" x14ac:dyDescent="0.3">
      <c r="A60" t="s">
        <v>2438</v>
      </c>
      <c r="B60" t="s">
        <v>2310</v>
      </c>
      <c r="C60" s="8">
        <v>46062</v>
      </c>
      <c r="D60" s="8">
        <v>46092</v>
      </c>
      <c r="E60" t="s">
        <v>2439</v>
      </c>
      <c r="F60" s="13">
        <v>84020.58</v>
      </c>
      <c r="G60" t="s">
        <v>142</v>
      </c>
    </row>
    <row r="61" spans="1:8" x14ac:dyDescent="0.3">
      <c r="A61" t="s">
        <v>2440</v>
      </c>
      <c r="B61" t="s">
        <v>2339</v>
      </c>
      <c r="C61" s="8">
        <v>46053</v>
      </c>
      <c r="D61" s="8">
        <v>46083</v>
      </c>
      <c r="E61" t="s">
        <v>2441</v>
      </c>
      <c r="F61" s="13">
        <v>2776.7</v>
      </c>
      <c r="G61" t="s">
        <v>2333</v>
      </c>
    </row>
    <row r="62" spans="1:8" x14ac:dyDescent="0.3">
      <c r="A62" t="s">
        <v>2442</v>
      </c>
      <c r="B62" t="s">
        <v>2357</v>
      </c>
      <c r="C62" s="8">
        <v>46073</v>
      </c>
      <c r="D62" s="8">
        <v>46103</v>
      </c>
      <c r="E62" t="s">
        <v>2443</v>
      </c>
      <c r="F62" s="13">
        <v>148032</v>
      </c>
      <c r="G62" t="s">
        <v>142</v>
      </c>
    </row>
    <row r="63" spans="1:8" x14ac:dyDescent="0.3">
      <c r="A63" t="s">
        <v>2444</v>
      </c>
      <c r="B63" t="s">
        <v>2350</v>
      </c>
      <c r="C63" s="8">
        <v>46066</v>
      </c>
      <c r="D63" s="8">
        <v>46096</v>
      </c>
      <c r="E63" t="s">
        <v>2445</v>
      </c>
      <c r="F63" s="13">
        <v>117929.1</v>
      </c>
      <c r="G63" t="s">
        <v>2337</v>
      </c>
      <c r="H63" s="8">
        <v>46099</v>
      </c>
    </row>
    <row r="64" spans="1:8" x14ac:dyDescent="0.3">
      <c r="A64" t="s">
        <v>2446</v>
      </c>
      <c r="B64" t="s">
        <v>2357</v>
      </c>
      <c r="C64" s="8">
        <v>46069</v>
      </c>
      <c r="D64" s="8">
        <v>46099</v>
      </c>
      <c r="E64" t="s">
        <v>2447</v>
      </c>
      <c r="F64" s="13">
        <v>29561.040000000001</v>
      </c>
      <c r="G64" t="s">
        <v>142</v>
      </c>
    </row>
    <row r="65" spans="1:8" x14ac:dyDescent="0.3">
      <c r="A65" t="s">
        <v>2448</v>
      </c>
      <c r="B65" t="s">
        <v>2312</v>
      </c>
      <c r="C65" s="8">
        <v>46060</v>
      </c>
      <c r="D65" s="8">
        <v>46090</v>
      </c>
      <c r="E65" t="s">
        <v>2449</v>
      </c>
      <c r="F65" s="13">
        <v>129364.32</v>
      </c>
      <c r="G65" t="s">
        <v>2337</v>
      </c>
      <c r="H65" s="8">
        <v>46089</v>
      </c>
    </row>
    <row r="66" spans="1:8" x14ac:dyDescent="0.3">
      <c r="A66" t="s">
        <v>2450</v>
      </c>
      <c r="B66" t="s">
        <v>2328</v>
      </c>
      <c r="C66" s="8">
        <v>46071</v>
      </c>
      <c r="D66" s="8">
        <v>46101</v>
      </c>
      <c r="E66" t="s">
        <v>2451</v>
      </c>
      <c r="F66" s="13">
        <v>143525.87</v>
      </c>
      <c r="G66" t="s">
        <v>2337</v>
      </c>
      <c r="H66" s="8">
        <v>46100</v>
      </c>
    </row>
    <row r="67" spans="1:8" x14ac:dyDescent="0.3">
      <c r="A67" t="s">
        <v>2452</v>
      </c>
      <c r="B67" t="s">
        <v>2335</v>
      </c>
      <c r="C67" s="8">
        <v>46071</v>
      </c>
      <c r="D67" s="8">
        <v>46101</v>
      </c>
      <c r="E67" t="s">
        <v>2453</v>
      </c>
      <c r="F67" s="13">
        <v>25531.07</v>
      </c>
      <c r="G67" t="s">
        <v>2317</v>
      </c>
    </row>
    <row r="68" spans="1:8" x14ac:dyDescent="0.3">
      <c r="A68" t="s">
        <v>2454</v>
      </c>
      <c r="B68" t="s">
        <v>2312</v>
      </c>
      <c r="C68" s="8">
        <v>46066</v>
      </c>
      <c r="D68" s="8">
        <v>46096</v>
      </c>
      <c r="E68" t="s">
        <v>2455</v>
      </c>
      <c r="F68" s="13">
        <v>88958.12</v>
      </c>
      <c r="G68" t="s">
        <v>2317</v>
      </c>
    </row>
    <row r="69" spans="1:8" x14ac:dyDescent="0.3">
      <c r="A69" t="s">
        <v>2456</v>
      </c>
      <c r="B69" t="s">
        <v>2377</v>
      </c>
      <c r="C69" s="8">
        <v>46058</v>
      </c>
      <c r="D69" s="8">
        <v>46088</v>
      </c>
      <c r="E69" t="s">
        <v>2380</v>
      </c>
      <c r="F69" s="13">
        <v>30159.71</v>
      </c>
      <c r="G69" t="s">
        <v>2317</v>
      </c>
    </row>
    <row r="70" spans="1:8" x14ac:dyDescent="0.3">
      <c r="A70" t="s">
        <v>2457</v>
      </c>
      <c r="B70" t="s">
        <v>2310</v>
      </c>
      <c r="C70" s="8">
        <v>46073</v>
      </c>
      <c r="D70" s="8">
        <v>46103</v>
      </c>
      <c r="E70" t="s">
        <v>2458</v>
      </c>
      <c r="F70" s="13">
        <v>134063.56</v>
      </c>
      <c r="G70" t="s">
        <v>2317</v>
      </c>
    </row>
    <row r="71" spans="1:8" x14ac:dyDescent="0.3">
      <c r="A71" t="s">
        <v>2459</v>
      </c>
      <c r="B71" t="s">
        <v>2331</v>
      </c>
      <c r="C71" s="8">
        <v>46067</v>
      </c>
      <c r="D71" s="8">
        <v>46097</v>
      </c>
      <c r="E71" t="s">
        <v>2460</v>
      </c>
      <c r="F71" s="13">
        <v>104494.5</v>
      </c>
      <c r="G71" t="s">
        <v>2333</v>
      </c>
    </row>
    <row r="72" spans="1:8" x14ac:dyDescent="0.3">
      <c r="A72" t="s">
        <v>2461</v>
      </c>
      <c r="B72" t="s">
        <v>2357</v>
      </c>
      <c r="C72" t="s">
        <v>2462</v>
      </c>
      <c r="D72" s="8">
        <v>46106</v>
      </c>
      <c r="E72" t="s">
        <v>2463</v>
      </c>
      <c r="F72" s="13">
        <v>60029.75</v>
      </c>
      <c r="G72" t="s">
        <v>2337</v>
      </c>
      <c r="H72" s="8">
        <v>46108</v>
      </c>
    </row>
    <row r="73" spans="1:8" x14ac:dyDescent="0.3">
      <c r="A73" t="s">
        <v>2464</v>
      </c>
      <c r="B73" t="s">
        <v>2315</v>
      </c>
      <c r="C73" s="8">
        <v>46079</v>
      </c>
      <c r="D73" s="8">
        <v>46109</v>
      </c>
      <c r="E73" t="s">
        <v>2465</v>
      </c>
      <c r="F73" s="13">
        <v>79410.960000000006</v>
      </c>
      <c r="G73" t="s">
        <v>142</v>
      </c>
    </row>
    <row r="74" spans="1:8" x14ac:dyDescent="0.3">
      <c r="A74" t="s">
        <v>2466</v>
      </c>
      <c r="B74" t="s">
        <v>2312</v>
      </c>
      <c r="C74" s="8">
        <v>46070</v>
      </c>
      <c r="D74" s="8">
        <v>46100</v>
      </c>
      <c r="E74" t="s">
        <v>2467</v>
      </c>
      <c r="F74" s="13">
        <v>72937.42</v>
      </c>
      <c r="G74" t="s">
        <v>2337</v>
      </c>
      <c r="H74" s="8">
        <v>46096</v>
      </c>
    </row>
    <row r="75" spans="1:8" x14ac:dyDescent="0.3">
      <c r="A75" t="s">
        <v>2468</v>
      </c>
      <c r="B75" t="s">
        <v>2312</v>
      </c>
      <c r="C75" s="8">
        <v>46062</v>
      </c>
      <c r="D75" s="8">
        <v>46092</v>
      </c>
      <c r="E75" t="s">
        <v>2469</v>
      </c>
      <c r="F75" s="13">
        <v>48146.11</v>
      </c>
      <c r="G75" t="s">
        <v>142</v>
      </c>
    </row>
    <row r="76" spans="1:8" x14ac:dyDescent="0.3">
      <c r="A76" t="s">
        <v>2470</v>
      </c>
      <c r="B76" t="s">
        <v>2339</v>
      </c>
      <c r="C76" s="8">
        <v>46065</v>
      </c>
      <c r="D76" s="8">
        <v>46095</v>
      </c>
      <c r="E76" t="s">
        <v>2471</v>
      </c>
      <c r="F76" s="13">
        <v>71184.28</v>
      </c>
      <c r="G76" t="s">
        <v>2333</v>
      </c>
    </row>
    <row r="77" spans="1:8" x14ac:dyDescent="0.3">
      <c r="A77" t="s">
        <v>2472</v>
      </c>
      <c r="B77" t="s">
        <v>2322</v>
      </c>
      <c r="C77" s="8">
        <v>46055</v>
      </c>
      <c r="D77" s="8">
        <v>46085</v>
      </c>
      <c r="F77" s="13">
        <v>132553.16</v>
      </c>
      <c r="G77" t="s">
        <v>2317</v>
      </c>
    </row>
    <row r="78" spans="1:8" x14ac:dyDescent="0.3">
      <c r="A78" t="s">
        <v>2473</v>
      </c>
      <c r="B78" t="s">
        <v>2377</v>
      </c>
      <c r="C78" s="8">
        <v>46057</v>
      </c>
      <c r="D78" s="8">
        <v>46087</v>
      </c>
      <c r="E78" t="s">
        <v>2449</v>
      </c>
      <c r="F78" s="13">
        <v>64356.97</v>
      </c>
      <c r="G78" t="s">
        <v>2333</v>
      </c>
    </row>
    <row r="79" spans="1:8" x14ac:dyDescent="0.3">
      <c r="A79" t="s">
        <v>2474</v>
      </c>
      <c r="B79" t="s">
        <v>2319</v>
      </c>
      <c r="C79" s="8">
        <v>46069</v>
      </c>
      <c r="D79" s="8">
        <v>46099</v>
      </c>
      <c r="E79" t="s">
        <v>2475</v>
      </c>
      <c r="F79" s="13">
        <v>43898.74</v>
      </c>
      <c r="G79" t="s">
        <v>2324</v>
      </c>
    </row>
    <row r="80" spans="1:8" x14ac:dyDescent="0.3">
      <c r="A80" t="s">
        <v>2476</v>
      </c>
      <c r="B80" t="s">
        <v>2315</v>
      </c>
      <c r="C80" s="8">
        <v>46068</v>
      </c>
      <c r="D80" s="8">
        <v>46098</v>
      </c>
      <c r="E80" t="s">
        <v>2477</v>
      </c>
      <c r="F80" s="13">
        <v>14234.63</v>
      </c>
      <c r="G80" t="s">
        <v>2337</v>
      </c>
      <c r="H80" s="8">
        <v>46098</v>
      </c>
    </row>
    <row r="81" spans="1:8" x14ac:dyDescent="0.3">
      <c r="A81" t="s">
        <v>2478</v>
      </c>
      <c r="B81" t="s">
        <v>2322</v>
      </c>
      <c r="C81" s="8">
        <v>46077</v>
      </c>
      <c r="D81" s="8">
        <v>46107</v>
      </c>
      <c r="E81" t="s">
        <v>2479</v>
      </c>
      <c r="F81" s="13">
        <v>37220.04</v>
      </c>
      <c r="G81" t="s">
        <v>2324</v>
      </c>
    </row>
    <row r="82" spans="1:8" x14ac:dyDescent="0.3">
      <c r="A82" t="s">
        <v>2480</v>
      </c>
      <c r="B82" t="s">
        <v>2335</v>
      </c>
      <c r="C82" s="8">
        <v>46072</v>
      </c>
      <c r="D82" s="8">
        <v>46102</v>
      </c>
      <c r="E82" t="s">
        <v>2481</v>
      </c>
      <c r="F82" s="13">
        <v>23349.78</v>
      </c>
      <c r="G82" t="s">
        <v>142</v>
      </c>
    </row>
    <row r="83" spans="1:8" x14ac:dyDescent="0.3">
      <c r="A83" t="s">
        <v>2482</v>
      </c>
      <c r="B83" t="s">
        <v>2364</v>
      </c>
      <c r="C83" s="8">
        <v>46080</v>
      </c>
      <c r="D83" s="8">
        <v>46110</v>
      </c>
      <c r="E83" t="s">
        <v>2483</v>
      </c>
      <c r="F83" s="13">
        <v>147613.06</v>
      </c>
      <c r="G83" t="s">
        <v>2333</v>
      </c>
    </row>
    <row r="84" spans="1:8" x14ac:dyDescent="0.3">
      <c r="A84" t="s">
        <v>2484</v>
      </c>
      <c r="B84" t="s">
        <v>2328</v>
      </c>
      <c r="C84" s="8">
        <v>46073</v>
      </c>
      <c r="D84" s="8">
        <v>46103</v>
      </c>
      <c r="E84" t="s">
        <v>2485</v>
      </c>
      <c r="F84" s="13">
        <v>34132.67</v>
      </c>
      <c r="G84" t="s">
        <v>142</v>
      </c>
    </row>
    <row r="85" spans="1:8" x14ac:dyDescent="0.3">
      <c r="A85" t="s">
        <v>2486</v>
      </c>
      <c r="B85" t="s">
        <v>2310</v>
      </c>
      <c r="C85" s="8">
        <v>46059</v>
      </c>
      <c r="D85" s="8">
        <v>46089</v>
      </c>
      <c r="E85" t="s">
        <v>2396</v>
      </c>
      <c r="F85" s="13">
        <v>124772.72</v>
      </c>
      <c r="G85" t="s">
        <v>2317</v>
      </c>
    </row>
    <row r="86" spans="1:8" x14ac:dyDescent="0.3">
      <c r="A86" t="s">
        <v>2487</v>
      </c>
      <c r="B86" t="s">
        <v>2310</v>
      </c>
      <c r="C86" s="8">
        <v>46061</v>
      </c>
      <c r="D86" s="8">
        <v>46091</v>
      </c>
      <c r="E86" t="s">
        <v>2488</v>
      </c>
      <c r="F86" s="13">
        <v>126202.19</v>
      </c>
      <c r="G86" t="s">
        <v>2317</v>
      </c>
    </row>
    <row r="87" spans="1:8" x14ac:dyDescent="0.3">
      <c r="A87" t="s">
        <v>2489</v>
      </c>
      <c r="B87" t="s">
        <v>2347</v>
      </c>
      <c r="C87" s="8">
        <v>46054</v>
      </c>
      <c r="D87" s="8">
        <v>46084</v>
      </c>
      <c r="E87" t="s">
        <v>2490</v>
      </c>
      <c r="F87" s="13">
        <v>82689.41</v>
      </c>
      <c r="G87" t="s">
        <v>2333</v>
      </c>
    </row>
    <row r="88" spans="1:8" x14ac:dyDescent="0.3">
      <c r="A88" t="s">
        <v>2491</v>
      </c>
      <c r="B88" t="s">
        <v>2339</v>
      </c>
      <c r="C88" s="8">
        <v>46060</v>
      </c>
      <c r="D88" s="8">
        <v>46090</v>
      </c>
      <c r="E88" t="s">
        <v>2492</v>
      </c>
      <c r="F88" s="13">
        <v>132675.06</v>
      </c>
      <c r="G88" t="s">
        <v>142</v>
      </c>
    </row>
    <row r="89" spans="1:8" x14ac:dyDescent="0.3">
      <c r="A89" t="s">
        <v>2493</v>
      </c>
      <c r="B89" t="s">
        <v>2331</v>
      </c>
      <c r="C89" s="8">
        <v>46080</v>
      </c>
      <c r="D89" s="8">
        <v>46110</v>
      </c>
      <c r="E89" t="s">
        <v>2494</v>
      </c>
      <c r="F89" s="13">
        <v>124524.56</v>
      </c>
      <c r="G89" t="s">
        <v>2337</v>
      </c>
      <c r="H89" s="8">
        <v>46117</v>
      </c>
    </row>
    <row r="90" spans="1:8" x14ac:dyDescent="0.3">
      <c r="A90" t="s">
        <v>2495</v>
      </c>
      <c r="B90" t="s">
        <v>2312</v>
      </c>
      <c r="C90" s="8">
        <v>46068</v>
      </c>
      <c r="D90" s="8">
        <v>46098</v>
      </c>
      <c r="E90" t="s">
        <v>2496</v>
      </c>
      <c r="F90" s="13">
        <v>23378.71</v>
      </c>
      <c r="G90" t="s">
        <v>2317</v>
      </c>
    </row>
    <row r="91" spans="1:8" x14ac:dyDescent="0.3">
      <c r="A91" t="s">
        <v>2497</v>
      </c>
      <c r="B91" t="s">
        <v>2369</v>
      </c>
      <c r="C91" s="8">
        <v>46070</v>
      </c>
      <c r="D91" s="8">
        <v>46100</v>
      </c>
      <c r="E91" t="s">
        <v>2385</v>
      </c>
      <c r="F91" s="13">
        <v>59683.95</v>
      </c>
      <c r="G91" t="s">
        <v>2324</v>
      </c>
    </row>
    <row r="92" spans="1:8" x14ac:dyDescent="0.3">
      <c r="A92" t="s">
        <v>2498</v>
      </c>
      <c r="B92" t="s">
        <v>2315</v>
      </c>
      <c r="C92" s="8">
        <v>46070</v>
      </c>
      <c r="D92" s="8">
        <v>46100</v>
      </c>
      <c r="E92" t="s">
        <v>2499</v>
      </c>
      <c r="F92" s="13">
        <v>91998.02</v>
      </c>
      <c r="G92" t="s">
        <v>2324</v>
      </c>
    </row>
    <row r="93" spans="1:8" x14ac:dyDescent="0.3">
      <c r="A93" t="s">
        <v>2500</v>
      </c>
      <c r="B93" t="s">
        <v>2319</v>
      </c>
      <c r="C93" s="8">
        <v>46056</v>
      </c>
      <c r="D93" s="8">
        <v>46086</v>
      </c>
      <c r="E93" t="s">
        <v>2501</v>
      </c>
      <c r="F93" s="13">
        <v>122079.39</v>
      </c>
      <c r="G93" t="s">
        <v>2337</v>
      </c>
      <c r="H93" s="8">
        <v>46095</v>
      </c>
    </row>
    <row r="94" spans="1:8" x14ac:dyDescent="0.3">
      <c r="A94" t="s">
        <v>2502</v>
      </c>
      <c r="B94" t="s">
        <v>2319</v>
      </c>
      <c r="C94" s="8">
        <v>46053</v>
      </c>
      <c r="D94" s="8">
        <v>46083</v>
      </c>
      <c r="E94" t="s">
        <v>2503</v>
      </c>
      <c r="F94" s="13">
        <v>47295.49</v>
      </c>
      <c r="G94" t="s">
        <v>2324</v>
      </c>
    </row>
    <row r="95" spans="1:8" x14ac:dyDescent="0.3">
      <c r="A95" t="s">
        <v>2504</v>
      </c>
      <c r="B95" t="s">
        <v>2377</v>
      </c>
      <c r="C95" s="8">
        <v>46077</v>
      </c>
      <c r="D95" s="8">
        <v>46107</v>
      </c>
      <c r="E95" t="s">
        <v>2505</v>
      </c>
      <c r="F95" s="13">
        <v>52870.16</v>
      </c>
      <c r="G95" t="s">
        <v>2337</v>
      </c>
      <c r="H95" s="8">
        <v>46104</v>
      </c>
    </row>
    <row r="96" spans="1:8" x14ac:dyDescent="0.3">
      <c r="A96" t="s">
        <v>2506</v>
      </c>
      <c r="B96" t="s">
        <v>2347</v>
      </c>
      <c r="C96" s="8">
        <v>46061</v>
      </c>
      <c r="D96" s="8">
        <v>46091</v>
      </c>
      <c r="E96" t="s">
        <v>2488</v>
      </c>
      <c r="F96" s="13">
        <v>149047.81</v>
      </c>
      <c r="G96" t="s">
        <v>2324</v>
      </c>
    </row>
    <row r="97" spans="1:8" x14ac:dyDescent="0.3">
      <c r="A97" t="s">
        <v>2507</v>
      </c>
      <c r="B97" t="s">
        <v>2369</v>
      </c>
      <c r="C97" s="8">
        <v>46070</v>
      </c>
      <c r="D97" s="8">
        <v>46100</v>
      </c>
      <c r="E97" t="s">
        <v>2508</v>
      </c>
      <c r="F97" s="13">
        <v>148218.37</v>
      </c>
      <c r="G97" t="s">
        <v>2333</v>
      </c>
    </row>
    <row r="98" spans="1:8" x14ac:dyDescent="0.3">
      <c r="A98" t="s">
        <v>2509</v>
      </c>
      <c r="B98" t="s">
        <v>2364</v>
      </c>
      <c r="C98" s="8">
        <v>46057</v>
      </c>
      <c r="D98" s="8">
        <v>46087</v>
      </c>
      <c r="E98" t="s">
        <v>2510</v>
      </c>
      <c r="F98" s="13">
        <v>126648.15</v>
      </c>
      <c r="G98" t="s">
        <v>2317</v>
      </c>
    </row>
    <row r="99" spans="1:8" x14ac:dyDescent="0.3">
      <c r="A99" t="s">
        <v>2511</v>
      </c>
      <c r="B99" t="s">
        <v>2364</v>
      </c>
      <c r="C99" s="8">
        <v>46065</v>
      </c>
      <c r="D99" s="8">
        <v>46095</v>
      </c>
      <c r="E99" t="s">
        <v>2512</v>
      </c>
      <c r="F99" s="13">
        <v>78561.84</v>
      </c>
      <c r="G99" t="s">
        <v>2333</v>
      </c>
    </row>
    <row r="100" spans="1:8" x14ac:dyDescent="0.3">
      <c r="A100" t="s">
        <v>2513</v>
      </c>
      <c r="B100" t="s">
        <v>2331</v>
      </c>
      <c r="C100" s="8">
        <v>46061</v>
      </c>
      <c r="D100" s="8">
        <v>46091</v>
      </c>
      <c r="E100" t="s">
        <v>2514</v>
      </c>
      <c r="F100" s="13">
        <v>134324.22</v>
      </c>
      <c r="G100" t="s">
        <v>2337</v>
      </c>
      <c r="H100" s="8">
        <v>46096</v>
      </c>
    </row>
    <row r="101" spans="1:8" x14ac:dyDescent="0.3">
      <c r="A101" t="s">
        <v>2515</v>
      </c>
      <c r="B101" t="s">
        <v>2312</v>
      </c>
      <c r="C101" s="8">
        <v>46076</v>
      </c>
      <c r="D101" s="8">
        <v>46106</v>
      </c>
      <c r="E101" t="s">
        <v>2516</v>
      </c>
      <c r="F101" s="13">
        <v>148994.32</v>
      </c>
      <c r="G101" t="s">
        <v>2333</v>
      </c>
    </row>
    <row r="102" spans="1:8" x14ac:dyDescent="0.3">
      <c r="A102" t="s">
        <v>2517</v>
      </c>
      <c r="B102" t="s">
        <v>2319</v>
      </c>
      <c r="C102" s="8">
        <v>46105</v>
      </c>
      <c r="D102" s="8">
        <v>46135</v>
      </c>
      <c r="F102" s="13">
        <v>77701.67</v>
      </c>
      <c r="G102" t="s">
        <v>2333</v>
      </c>
    </row>
    <row r="103" spans="1:8" x14ac:dyDescent="0.3">
      <c r="A103" t="s">
        <v>2518</v>
      </c>
      <c r="B103" t="s">
        <v>2364</v>
      </c>
      <c r="C103" s="8">
        <v>46083</v>
      </c>
      <c r="D103" s="8">
        <v>46113</v>
      </c>
      <c r="E103" t="s">
        <v>2519</v>
      </c>
      <c r="F103" s="13">
        <v>74054.289999999994</v>
      </c>
      <c r="G103" t="s">
        <v>2317</v>
      </c>
    </row>
    <row r="104" spans="1:8" x14ac:dyDescent="0.3">
      <c r="A104" t="s">
        <v>2520</v>
      </c>
      <c r="B104" t="s">
        <v>2328</v>
      </c>
      <c r="C104" s="8">
        <v>46082</v>
      </c>
      <c r="D104" s="8">
        <v>46112</v>
      </c>
      <c r="E104" t="s">
        <v>2521</v>
      </c>
      <c r="F104" s="13">
        <v>123833.39</v>
      </c>
      <c r="G104" t="s">
        <v>2324</v>
      </c>
    </row>
    <row r="105" spans="1:8" x14ac:dyDescent="0.3">
      <c r="A105" t="s">
        <v>2522</v>
      </c>
      <c r="B105" t="s">
        <v>2377</v>
      </c>
      <c r="C105" s="8">
        <v>46085</v>
      </c>
      <c r="D105" s="8">
        <v>46115</v>
      </c>
      <c r="E105" t="s">
        <v>2523</v>
      </c>
      <c r="F105" s="13">
        <v>13957.9</v>
      </c>
      <c r="G105" t="s">
        <v>2337</v>
      </c>
      <c r="H105" s="8">
        <v>46116</v>
      </c>
    </row>
    <row r="106" spans="1:8" x14ac:dyDescent="0.3">
      <c r="A106" t="s">
        <v>2524</v>
      </c>
      <c r="B106" t="s">
        <v>2331</v>
      </c>
      <c r="C106" s="8">
        <v>46089</v>
      </c>
      <c r="D106" s="8">
        <v>46119</v>
      </c>
      <c r="E106" t="s">
        <v>2525</v>
      </c>
      <c r="F106" s="13">
        <v>94239.9</v>
      </c>
      <c r="G106" t="s">
        <v>2337</v>
      </c>
      <c r="H106" s="8">
        <v>46126</v>
      </c>
    </row>
    <row r="107" spans="1:8" x14ac:dyDescent="0.3">
      <c r="A107" t="s">
        <v>2526</v>
      </c>
      <c r="B107" t="s">
        <v>2328</v>
      </c>
      <c r="C107" s="8">
        <v>46237</v>
      </c>
      <c r="D107" s="8">
        <v>46118</v>
      </c>
      <c r="E107" t="s">
        <v>2527</v>
      </c>
      <c r="F107" s="13">
        <v>149513.1</v>
      </c>
      <c r="G107" t="s">
        <v>2324</v>
      </c>
    </row>
    <row r="108" spans="1:8" x14ac:dyDescent="0.3">
      <c r="A108" t="s">
        <v>2528</v>
      </c>
      <c r="B108" t="s">
        <v>2322</v>
      </c>
      <c r="C108" s="8">
        <v>46085</v>
      </c>
      <c r="D108" s="8">
        <v>46115</v>
      </c>
      <c r="E108" t="s">
        <v>2529</v>
      </c>
      <c r="F108" s="13">
        <v>79631.320000000007</v>
      </c>
      <c r="G108" t="s">
        <v>2317</v>
      </c>
    </row>
    <row r="109" spans="1:8" x14ac:dyDescent="0.3">
      <c r="A109" t="s">
        <v>2530</v>
      </c>
      <c r="B109" t="s">
        <v>2322</v>
      </c>
      <c r="C109" s="8">
        <v>46093</v>
      </c>
      <c r="D109" s="8">
        <v>46123</v>
      </c>
      <c r="E109" t="s">
        <v>2531</v>
      </c>
      <c r="F109" s="13">
        <v>63238.74</v>
      </c>
      <c r="G109" t="s">
        <v>142</v>
      </c>
    </row>
    <row r="110" spans="1:8" x14ac:dyDescent="0.3">
      <c r="A110" t="s">
        <v>2532</v>
      </c>
      <c r="B110" t="s">
        <v>2331</v>
      </c>
      <c r="C110" s="8">
        <v>46102</v>
      </c>
      <c r="D110" s="8">
        <v>46132</v>
      </c>
      <c r="E110" t="s">
        <v>2533</v>
      </c>
      <c r="F110" s="13">
        <v>113724.37</v>
      </c>
      <c r="G110" t="s">
        <v>2317</v>
      </c>
    </row>
    <row r="111" spans="1:8" x14ac:dyDescent="0.3">
      <c r="A111" t="s">
        <v>2534</v>
      </c>
      <c r="B111" t="s">
        <v>2335</v>
      </c>
      <c r="C111" s="8">
        <v>46101</v>
      </c>
      <c r="D111" s="8">
        <v>46131</v>
      </c>
      <c r="E111" t="s">
        <v>2535</v>
      </c>
      <c r="F111" s="13">
        <v>125034.72</v>
      </c>
      <c r="G111" t="s">
        <v>2324</v>
      </c>
    </row>
    <row r="112" spans="1:8" x14ac:dyDescent="0.3">
      <c r="A112" t="s">
        <v>2536</v>
      </c>
      <c r="B112" t="s">
        <v>2312</v>
      </c>
      <c r="C112" s="8">
        <v>46082</v>
      </c>
      <c r="D112" s="8">
        <v>46112</v>
      </c>
      <c r="E112" t="s">
        <v>2537</v>
      </c>
      <c r="F112" s="13">
        <v>22837.27</v>
      </c>
      <c r="G112" t="s">
        <v>142</v>
      </c>
    </row>
    <row r="113" spans="1:8" x14ac:dyDescent="0.3">
      <c r="A113" t="s">
        <v>2538</v>
      </c>
      <c r="B113" t="s">
        <v>2335</v>
      </c>
      <c r="C113" s="8">
        <v>46088</v>
      </c>
      <c r="D113" s="8">
        <v>46118</v>
      </c>
      <c r="E113" t="s">
        <v>2539</v>
      </c>
      <c r="F113" s="13">
        <v>134497.53</v>
      </c>
      <c r="G113" t="s">
        <v>142</v>
      </c>
    </row>
    <row r="114" spans="1:8" x14ac:dyDescent="0.3">
      <c r="A114" t="s">
        <v>2540</v>
      </c>
      <c r="B114" t="s">
        <v>2335</v>
      </c>
      <c r="C114" s="8">
        <v>46083</v>
      </c>
      <c r="D114" s="8">
        <v>46113</v>
      </c>
      <c r="E114" t="s">
        <v>2348</v>
      </c>
      <c r="F114" s="13">
        <v>66373.67</v>
      </c>
      <c r="G114" t="s">
        <v>2317</v>
      </c>
    </row>
    <row r="115" spans="1:8" x14ac:dyDescent="0.3">
      <c r="A115" t="s">
        <v>2541</v>
      </c>
      <c r="B115" t="s">
        <v>2377</v>
      </c>
      <c r="C115" s="8">
        <v>46103</v>
      </c>
      <c r="D115" s="8">
        <v>46133</v>
      </c>
      <c r="E115" t="s">
        <v>2416</v>
      </c>
      <c r="F115" s="13">
        <v>86603.58</v>
      </c>
      <c r="G115" t="s">
        <v>142</v>
      </c>
    </row>
    <row r="116" spans="1:8" x14ac:dyDescent="0.3">
      <c r="A116" t="s">
        <v>2542</v>
      </c>
      <c r="B116" t="s">
        <v>2369</v>
      </c>
      <c r="C116" s="8">
        <v>46084</v>
      </c>
      <c r="D116" s="8">
        <v>46114</v>
      </c>
      <c r="E116" t="s">
        <v>2543</v>
      </c>
      <c r="F116" s="13">
        <v>144749.82</v>
      </c>
      <c r="G116" t="s">
        <v>142</v>
      </c>
    </row>
    <row r="117" spans="1:8" x14ac:dyDescent="0.3">
      <c r="A117" t="s">
        <v>2544</v>
      </c>
      <c r="B117" t="s">
        <v>2319</v>
      </c>
      <c r="C117" s="8">
        <v>46100</v>
      </c>
      <c r="D117" s="8">
        <v>46130</v>
      </c>
      <c r="E117" t="s">
        <v>2443</v>
      </c>
      <c r="F117" s="13">
        <v>149915.28</v>
      </c>
      <c r="G117" t="s">
        <v>2324</v>
      </c>
    </row>
    <row r="118" spans="1:8" x14ac:dyDescent="0.3">
      <c r="A118" t="s">
        <v>2545</v>
      </c>
      <c r="B118" t="s">
        <v>2315</v>
      </c>
      <c r="C118" s="8">
        <v>46091</v>
      </c>
      <c r="D118" s="8">
        <v>46121</v>
      </c>
      <c r="E118" t="s">
        <v>2408</v>
      </c>
      <c r="F118" s="13">
        <v>96800.35</v>
      </c>
      <c r="G118" t="s">
        <v>2317</v>
      </c>
    </row>
    <row r="119" spans="1:8" x14ac:dyDescent="0.3">
      <c r="A119" t="s">
        <v>2546</v>
      </c>
      <c r="B119" t="s">
        <v>2312</v>
      </c>
      <c r="C119" s="8">
        <v>46102</v>
      </c>
      <c r="D119" s="8">
        <v>46132</v>
      </c>
      <c r="E119" t="s">
        <v>2547</v>
      </c>
      <c r="F119" s="13">
        <v>93640.61</v>
      </c>
      <c r="G119" t="s">
        <v>2317</v>
      </c>
    </row>
    <row r="120" spans="1:8" x14ac:dyDescent="0.3">
      <c r="A120" t="s">
        <v>2548</v>
      </c>
      <c r="B120" t="s">
        <v>2339</v>
      </c>
      <c r="C120" s="8">
        <v>46105</v>
      </c>
      <c r="D120" s="8">
        <v>46135</v>
      </c>
      <c r="E120" t="s">
        <v>2441</v>
      </c>
      <c r="F120" s="13">
        <v>112851.76</v>
      </c>
      <c r="G120" t="s">
        <v>2324</v>
      </c>
    </row>
    <row r="121" spans="1:8" x14ac:dyDescent="0.3">
      <c r="A121" t="s">
        <v>2549</v>
      </c>
      <c r="B121" t="s">
        <v>2369</v>
      </c>
      <c r="C121" s="8">
        <v>46084</v>
      </c>
      <c r="D121" s="8">
        <v>46114</v>
      </c>
      <c r="E121" t="s">
        <v>2483</v>
      </c>
      <c r="F121" s="13">
        <v>135548.94</v>
      </c>
      <c r="G121" t="s">
        <v>2337</v>
      </c>
      <c r="H121" s="8">
        <v>46122</v>
      </c>
    </row>
    <row r="122" spans="1:8" x14ac:dyDescent="0.3">
      <c r="A122" t="s">
        <v>2548</v>
      </c>
      <c r="B122" t="s">
        <v>2315</v>
      </c>
      <c r="C122" s="8">
        <v>46096</v>
      </c>
      <c r="D122" s="8">
        <v>46126</v>
      </c>
      <c r="E122" t="s">
        <v>2550</v>
      </c>
      <c r="F122" s="13">
        <v>64960.56</v>
      </c>
      <c r="G122" t="s">
        <v>2324</v>
      </c>
    </row>
    <row r="123" spans="1:8" x14ac:dyDescent="0.3">
      <c r="A123" t="s">
        <v>2551</v>
      </c>
      <c r="B123" t="s">
        <v>2350</v>
      </c>
      <c r="C123" s="8">
        <v>46092</v>
      </c>
      <c r="D123" s="8">
        <v>46122</v>
      </c>
      <c r="E123" t="s">
        <v>2348</v>
      </c>
      <c r="F123" s="13">
        <v>81767.37</v>
      </c>
      <c r="G123" t="s">
        <v>2324</v>
      </c>
    </row>
    <row r="124" spans="1:8" x14ac:dyDescent="0.3">
      <c r="A124" t="s">
        <v>2552</v>
      </c>
      <c r="B124" t="s">
        <v>2319</v>
      </c>
      <c r="C124" s="8">
        <v>46103</v>
      </c>
      <c r="D124" s="8">
        <v>46133</v>
      </c>
      <c r="E124" t="s">
        <v>2320</v>
      </c>
      <c r="F124" s="13">
        <v>51012.89</v>
      </c>
      <c r="G124" t="s">
        <v>142</v>
      </c>
    </row>
    <row r="125" spans="1:8" x14ac:dyDescent="0.3">
      <c r="A125" t="s">
        <v>2553</v>
      </c>
      <c r="B125" t="s">
        <v>2328</v>
      </c>
      <c r="C125" s="8">
        <v>46094</v>
      </c>
      <c r="D125" s="8">
        <v>46124</v>
      </c>
      <c r="E125" t="s">
        <v>2554</v>
      </c>
      <c r="F125" s="13">
        <v>138413.6</v>
      </c>
      <c r="G125" t="s">
        <v>2317</v>
      </c>
    </row>
    <row r="126" spans="1:8" x14ac:dyDescent="0.3">
      <c r="A126" t="s">
        <v>2555</v>
      </c>
      <c r="B126" t="s">
        <v>2315</v>
      </c>
      <c r="C126" s="8">
        <v>46085</v>
      </c>
      <c r="D126" s="8">
        <v>46115</v>
      </c>
      <c r="E126" t="s">
        <v>2408</v>
      </c>
      <c r="F126" s="13">
        <v>59318.61</v>
      </c>
      <c r="G126" t="s">
        <v>2337</v>
      </c>
      <c r="H126" s="8">
        <v>46117</v>
      </c>
    </row>
    <row r="127" spans="1:8" x14ac:dyDescent="0.3">
      <c r="A127" t="s">
        <v>2556</v>
      </c>
      <c r="B127" t="s">
        <v>2347</v>
      </c>
      <c r="C127" s="8">
        <v>46104</v>
      </c>
      <c r="D127" s="8">
        <v>46134</v>
      </c>
      <c r="F127" s="13">
        <v>93728.61</v>
      </c>
      <c r="G127" t="s">
        <v>2337</v>
      </c>
      <c r="H127" s="8">
        <v>46134</v>
      </c>
    </row>
    <row r="128" spans="1:8" x14ac:dyDescent="0.3">
      <c r="A128" t="s">
        <v>2557</v>
      </c>
      <c r="B128" t="s">
        <v>2347</v>
      </c>
      <c r="C128" s="8">
        <v>46101</v>
      </c>
      <c r="D128" s="8">
        <v>46131</v>
      </c>
      <c r="E128" t="s">
        <v>2558</v>
      </c>
      <c r="F128" s="13">
        <v>80341.73</v>
      </c>
      <c r="G128" t="s">
        <v>2317</v>
      </c>
    </row>
    <row r="129" spans="1:8" x14ac:dyDescent="0.3">
      <c r="A129" t="s">
        <v>2559</v>
      </c>
      <c r="B129" t="s">
        <v>2364</v>
      </c>
      <c r="C129" s="8">
        <v>46093</v>
      </c>
      <c r="D129" s="8">
        <v>46123</v>
      </c>
      <c r="E129" t="s">
        <v>2430</v>
      </c>
      <c r="F129" s="13">
        <v>44052.1</v>
      </c>
      <c r="G129" t="s">
        <v>2324</v>
      </c>
    </row>
    <row r="130" spans="1:8" x14ac:dyDescent="0.3">
      <c r="A130" t="s">
        <v>2560</v>
      </c>
      <c r="B130" t="s">
        <v>2364</v>
      </c>
      <c r="C130" s="8">
        <v>46092</v>
      </c>
      <c r="D130" s="8">
        <v>46122</v>
      </c>
      <c r="E130" t="s">
        <v>2561</v>
      </c>
      <c r="F130" s="13">
        <v>20548.21</v>
      </c>
      <c r="G130" t="s">
        <v>2317</v>
      </c>
    </row>
    <row r="131" spans="1:8" x14ac:dyDescent="0.3">
      <c r="A131" t="s">
        <v>2562</v>
      </c>
      <c r="B131" t="s">
        <v>2369</v>
      </c>
      <c r="C131" s="8">
        <v>46081</v>
      </c>
      <c r="D131" s="8">
        <v>46111</v>
      </c>
      <c r="E131" t="s">
        <v>2563</v>
      </c>
      <c r="F131" s="13">
        <v>99264.61</v>
      </c>
      <c r="G131" t="s">
        <v>2337</v>
      </c>
      <c r="H131" s="8">
        <v>46107</v>
      </c>
    </row>
    <row r="132" spans="1:8" x14ac:dyDescent="0.3">
      <c r="A132" t="s">
        <v>2564</v>
      </c>
      <c r="B132" t="s">
        <v>2377</v>
      </c>
      <c r="C132" s="8">
        <v>46085</v>
      </c>
      <c r="D132" s="8">
        <v>46115</v>
      </c>
      <c r="E132" t="s">
        <v>2329</v>
      </c>
      <c r="F132" s="13">
        <v>67559.210000000006</v>
      </c>
      <c r="G132" t="s">
        <v>142</v>
      </c>
    </row>
    <row r="133" spans="1:8" x14ac:dyDescent="0.3">
      <c r="A133" t="s">
        <v>2565</v>
      </c>
      <c r="B133" t="s">
        <v>2315</v>
      </c>
      <c r="C133" s="8">
        <v>46091</v>
      </c>
      <c r="D133" s="8">
        <v>46121</v>
      </c>
      <c r="E133" t="s">
        <v>2566</v>
      </c>
      <c r="F133" s="13">
        <v>41770.14</v>
      </c>
      <c r="G133" t="s">
        <v>2333</v>
      </c>
    </row>
    <row r="134" spans="1:8" x14ac:dyDescent="0.3">
      <c r="A134" t="s">
        <v>2567</v>
      </c>
      <c r="B134" t="s">
        <v>2315</v>
      </c>
      <c r="C134" s="8">
        <v>46096</v>
      </c>
      <c r="D134" s="8">
        <v>46126</v>
      </c>
      <c r="E134" t="s">
        <v>2568</v>
      </c>
      <c r="F134" s="13">
        <v>31811.64</v>
      </c>
      <c r="G134" t="s">
        <v>2333</v>
      </c>
    </row>
    <row r="135" spans="1:8" x14ac:dyDescent="0.3">
      <c r="A135" t="s">
        <v>2569</v>
      </c>
      <c r="B135" t="s">
        <v>2364</v>
      </c>
      <c r="C135" s="8">
        <v>46101</v>
      </c>
      <c r="D135" s="8">
        <v>46131</v>
      </c>
      <c r="E135" t="s">
        <v>2570</v>
      </c>
      <c r="F135" s="13">
        <v>104425.62</v>
      </c>
      <c r="G135" t="s">
        <v>142</v>
      </c>
    </row>
    <row r="136" spans="1:8" x14ac:dyDescent="0.3">
      <c r="A136" t="s">
        <v>2571</v>
      </c>
      <c r="B136" t="s">
        <v>2312</v>
      </c>
      <c r="C136" s="8">
        <v>46103</v>
      </c>
      <c r="D136" s="8">
        <v>46133</v>
      </c>
      <c r="E136" t="s">
        <v>2572</v>
      </c>
      <c r="F136" s="13">
        <v>106711.32</v>
      </c>
      <c r="G136" t="s">
        <v>142</v>
      </c>
    </row>
    <row r="137" spans="1:8" x14ac:dyDescent="0.3">
      <c r="A137" t="s">
        <v>2573</v>
      </c>
      <c r="B137" t="s">
        <v>2377</v>
      </c>
      <c r="C137" s="8">
        <v>46107</v>
      </c>
      <c r="D137" s="8">
        <v>46137</v>
      </c>
      <c r="E137" t="s">
        <v>2574</v>
      </c>
      <c r="F137" s="13">
        <v>133001.59</v>
      </c>
      <c r="G137" t="s">
        <v>2337</v>
      </c>
      <c r="H137" s="8">
        <v>46141</v>
      </c>
    </row>
    <row r="138" spans="1:8" x14ac:dyDescent="0.3">
      <c r="A138" t="s">
        <v>2575</v>
      </c>
      <c r="B138" t="s">
        <v>2328</v>
      </c>
      <c r="C138" s="8">
        <v>46088</v>
      </c>
      <c r="D138" s="8">
        <v>46118</v>
      </c>
      <c r="E138" t="s">
        <v>2408</v>
      </c>
      <c r="F138" s="13">
        <v>120573.48</v>
      </c>
      <c r="G138" t="s">
        <v>2317</v>
      </c>
    </row>
    <row r="139" spans="1:8" x14ac:dyDescent="0.3">
      <c r="A139" t="s">
        <v>2576</v>
      </c>
      <c r="B139" t="s">
        <v>2350</v>
      </c>
      <c r="C139" s="8">
        <v>46089</v>
      </c>
      <c r="D139" s="8">
        <v>46119</v>
      </c>
      <c r="E139" t="s">
        <v>2577</v>
      </c>
      <c r="F139" s="13">
        <v>83772.22</v>
      </c>
      <c r="G139" t="s">
        <v>142</v>
      </c>
    </row>
    <row r="140" spans="1:8" x14ac:dyDescent="0.3">
      <c r="A140" t="s">
        <v>2578</v>
      </c>
      <c r="B140" t="s">
        <v>2339</v>
      </c>
      <c r="C140" s="8">
        <v>46096</v>
      </c>
      <c r="D140" s="8">
        <v>46126</v>
      </c>
      <c r="E140" t="s">
        <v>2579</v>
      </c>
      <c r="F140" s="13">
        <v>59728.89</v>
      </c>
      <c r="G140" t="s">
        <v>2324</v>
      </c>
    </row>
    <row r="141" spans="1:8" x14ac:dyDescent="0.3">
      <c r="A141" t="s">
        <v>2580</v>
      </c>
      <c r="B141" t="s">
        <v>2310</v>
      </c>
      <c r="C141" s="8">
        <v>46091</v>
      </c>
      <c r="D141" s="8">
        <v>46121</v>
      </c>
      <c r="E141" t="s">
        <v>2460</v>
      </c>
      <c r="F141" s="13">
        <v>9716.3799999999992</v>
      </c>
      <c r="G141" t="s">
        <v>2337</v>
      </c>
      <c r="H141" s="8">
        <v>46128</v>
      </c>
    </row>
    <row r="142" spans="1:8" x14ac:dyDescent="0.3">
      <c r="A142" t="s">
        <v>2581</v>
      </c>
      <c r="B142" t="s">
        <v>2319</v>
      </c>
      <c r="C142" s="8">
        <v>46176</v>
      </c>
      <c r="D142" s="8">
        <v>46116</v>
      </c>
      <c r="E142" t="s">
        <v>2582</v>
      </c>
      <c r="F142" s="13">
        <v>77858.759999999995</v>
      </c>
      <c r="G142" t="s">
        <v>2337</v>
      </c>
      <c r="H142" s="8">
        <v>46125</v>
      </c>
    </row>
    <row r="143" spans="1:8" x14ac:dyDescent="0.3">
      <c r="A143" t="s">
        <v>2583</v>
      </c>
      <c r="B143" t="s">
        <v>2350</v>
      </c>
      <c r="C143" s="8">
        <v>46082</v>
      </c>
      <c r="D143" s="8">
        <v>46112</v>
      </c>
      <c r="E143" t="s">
        <v>2584</v>
      </c>
      <c r="F143" s="13">
        <v>144057.24</v>
      </c>
      <c r="G143" t="s">
        <v>2317</v>
      </c>
    </row>
    <row r="144" spans="1:8" x14ac:dyDescent="0.3">
      <c r="A144" t="s">
        <v>2585</v>
      </c>
      <c r="B144" t="s">
        <v>2312</v>
      </c>
      <c r="C144" s="8">
        <v>46090</v>
      </c>
      <c r="D144" s="8">
        <v>46120</v>
      </c>
      <c r="E144" t="s">
        <v>2586</v>
      </c>
      <c r="F144" s="13">
        <v>98648.39</v>
      </c>
      <c r="G144" t="s">
        <v>2324</v>
      </c>
    </row>
    <row r="145" spans="1:8" x14ac:dyDescent="0.3">
      <c r="A145" t="s">
        <v>2587</v>
      </c>
      <c r="B145" t="s">
        <v>2335</v>
      </c>
      <c r="C145" s="8">
        <v>46084</v>
      </c>
      <c r="D145" s="8">
        <v>46114</v>
      </c>
      <c r="E145" t="s">
        <v>2588</v>
      </c>
      <c r="F145" s="13">
        <v>140784.51999999999</v>
      </c>
      <c r="G145" t="s">
        <v>2324</v>
      </c>
    </row>
    <row r="146" spans="1:8" x14ac:dyDescent="0.3">
      <c r="A146" t="s">
        <v>2589</v>
      </c>
      <c r="B146" t="s">
        <v>2312</v>
      </c>
      <c r="C146" s="8">
        <v>46104</v>
      </c>
      <c r="D146" s="8">
        <v>46134</v>
      </c>
      <c r="E146" t="s">
        <v>2539</v>
      </c>
      <c r="F146" s="13">
        <v>121357.1</v>
      </c>
      <c r="G146" t="s">
        <v>2333</v>
      </c>
    </row>
    <row r="147" spans="1:8" x14ac:dyDescent="0.3">
      <c r="A147" t="s">
        <v>2590</v>
      </c>
      <c r="B147" t="s">
        <v>2357</v>
      </c>
      <c r="C147" s="8">
        <v>46088</v>
      </c>
      <c r="D147" s="8">
        <v>46118</v>
      </c>
      <c r="E147" t="s">
        <v>2591</v>
      </c>
      <c r="F147" s="13">
        <v>118098.79</v>
      </c>
      <c r="G147" t="s">
        <v>2317</v>
      </c>
    </row>
    <row r="148" spans="1:8" x14ac:dyDescent="0.3">
      <c r="A148" t="s">
        <v>2592</v>
      </c>
      <c r="B148" t="s">
        <v>2335</v>
      </c>
      <c r="C148" s="8">
        <v>46099</v>
      </c>
      <c r="D148" s="8">
        <v>46129</v>
      </c>
      <c r="E148" t="s">
        <v>2593</v>
      </c>
      <c r="F148" s="13">
        <v>32450.21</v>
      </c>
      <c r="G148" t="s">
        <v>2337</v>
      </c>
      <c r="H148" s="8">
        <v>46130</v>
      </c>
    </row>
    <row r="149" spans="1:8" x14ac:dyDescent="0.3">
      <c r="A149" t="s">
        <v>2594</v>
      </c>
      <c r="B149" t="s">
        <v>2310</v>
      </c>
      <c r="C149" s="8">
        <v>46086</v>
      </c>
      <c r="D149" s="8">
        <v>46116</v>
      </c>
      <c r="E149" t="s">
        <v>2579</v>
      </c>
      <c r="F149" s="13">
        <v>108387.44</v>
      </c>
      <c r="G149" t="s">
        <v>2337</v>
      </c>
      <c r="H149" s="8">
        <v>46126</v>
      </c>
    </row>
    <row r="150" spans="1:8" x14ac:dyDescent="0.3">
      <c r="A150" t="s">
        <v>2595</v>
      </c>
      <c r="B150" t="s">
        <v>2364</v>
      </c>
      <c r="C150" s="8">
        <v>46105</v>
      </c>
      <c r="D150" s="8">
        <v>46135</v>
      </c>
      <c r="E150" t="s">
        <v>2449</v>
      </c>
      <c r="F150" s="13">
        <v>52517.79</v>
      </c>
      <c r="G150" t="s">
        <v>2333</v>
      </c>
    </row>
    <row r="151" spans="1:8" x14ac:dyDescent="0.3">
      <c r="A151" t="s">
        <v>2596</v>
      </c>
      <c r="B151" t="s">
        <v>2369</v>
      </c>
      <c r="C151" s="8">
        <v>46108</v>
      </c>
      <c r="D151" s="8">
        <v>46138</v>
      </c>
      <c r="E151" t="s">
        <v>2597</v>
      </c>
      <c r="F151" s="13">
        <v>59901.440000000002</v>
      </c>
      <c r="G151" t="s">
        <v>2317</v>
      </c>
    </row>
    <row r="152" spans="1:8" x14ac:dyDescent="0.3">
      <c r="A152" t="s">
        <v>2598</v>
      </c>
      <c r="B152" t="s">
        <v>2331</v>
      </c>
      <c r="C152" s="8">
        <v>46124</v>
      </c>
      <c r="D152" s="8">
        <v>46154</v>
      </c>
      <c r="F152" s="13">
        <v>29061.39</v>
      </c>
      <c r="G152" t="s">
        <v>2333</v>
      </c>
    </row>
    <row r="153" spans="1:8" x14ac:dyDescent="0.3">
      <c r="A153" t="s">
        <v>2599</v>
      </c>
      <c r="B153" t="s">
        <v>2369</v>
      </c>
      <c r="C153" s="8">
        <v>46125</v>
      </c>
      <c r="D153" s="8">
        <v>46155</v>
      </c>
      <c r="E153" t="s">
        <v>2600</v>
      </c>
      <c r="F153" s="13">
        <v>147954.9</v>
      </c>
      <c r="G153" t="s">
        <v>142</v>
      </c>
    </row>
    <row r="154" spans="1:8" x14ac:dyDescent="0.3">
      <c r="A154" t="s">
        <v>2601</v>
      </c>
      <c r="B154" t="s">
        <v>2322</v>
      </c>
      <c r="C154" s="8">
        <v>46122</v>
      </c>
      <c r="D154" s="8">
        <v>46152</v>
      </c>
      <c r="E154" t="s">
        <v>2602</v>
      </c>
      <c r="F154" s="13">
        <v>50447.71</v>
      </c>
      <c r="G154" t="s">
        <v>142</v>
      </c>
    </row>
    <row r="155" spans="1:8" x14ac:dyDescent="0.3">
      <c r="A155" t="s">
        <v>2603</v>
      </c>
      <c r="B155" t="s">
        <v>2312</v>
      </c>
      <c r="C155" s="8">
        <v>46133</v>
      </c>
      <c r="D155" s="8">
        <v>46163</v>
      </c>
      <c r="E155" t="s">
        <v>2604</v>
      </c>
      <c r="F155" s="13">
        <v>25852.59</v>
      </c>
      <c r="G155" t="s">
        <v>2333</v>
      </c>
    </row>
    <row r="156" spans="1:8" x14ac:dyDescent="0.3">
      <c r="A156" t="s">
        <v>2605</v>
      </c>
      <c r="B156" t="s">
        <v>2310</v>
      </c>
      <c r="C156" s="8">
        <v>46115</v>
      </c>
      <c r="D156" s="8">
        <v>46145</v>
      </c>
      <c r="E156" t="s">
        <v>2606</v>
      </c>
      <c r="F156" s="13">
        <v>126913.56</v>
      </c>
      <c r="G156" t="s">
        <v>2317</v>
      </c>
    </row>
    <row r="157" spans="1:8" x14ac:dyDescent="0.3">
      <c r="A157" t="s">
        <v>2607</v>
      </c>
      <c r="B157" t="s">
        <v>2350</v>
      </c>
      <c r="C157" s="8">
        <v>46129</v>
      </c>
      <c r="D157" s="8">
        <v>46159</v>
      </c>
      <c r="E157" t="s">
        <v>2372</v>
      </c>
      <c r="F157" s="13">
        <v>103207.5</v>
      </c>
      <c r="G157" t="s">
        <v>142</v>
      </c>
    </row>
    <row r="158" spans="1:8" x14ac:dyDescent="0.3">
      <c r="A158" t="s">
        <v>2608</v>
      </c>
      <c r="B158" t="s">
        <v>2369</v>
      </c>
      <c r="C158" s="8">
        <v>46134</v>
      </c>
      <c r="D158" s="8">
        <v>46164</v>
      </c>
      <c r="E158" t="s">
        <v>2609</v>
      </c>
      <c r="F158" s="13">
        <v>130540.15</v>
      </c>
      <c r="G158" t="s">
        <v>2337</v>
      </c>
      <c r="H158" s="8">
        <v>46174</v>
      </c>
    </row>
    <row r="159" spans="1:8" x14ac:dyDescent="0.3">
      <c r="A159" t="s">
        <v>2610</v>
      </c>
      <c r="B159" t="s">
        <v>2369</v>
      </c>
      <c r="C159" s="8">
        <v>46124</v>
      </c>
      <c r="D159" s="8">
        <v>46154</v>
      </c>
      <c r="E159" t="s">
        <v>2579</v>
      </c>
      <c r="F159" s="13">
        <v>123758.13</v>
      </c>
      <c r="G159" t="s">
        <v>142</v>
      </c>
    </row>
    <row r="160" spans="1:8" x14ac:dyDescent="0.3">
      <c r="A160" t="s">
        <v>2611</v>
      </c>
      <c r="B160" t="s">
        <v>2319</v>
      </c>
      <c r="C160" s="8">
        <v>46136</v>
      </c>
      <c r="D160" s="8">
        <v>46166</v>
      </c>
      <c r="E160" t="s">
        <v>2612</v>
      </c>
      <c r="F160" s="13">
        <v>129520.02</v>
      </c>
      <c r="G160" t="s">
        <v>2317</v>
      </c>
    </row>
    <row r="161" spans="1:8" x14ac:dyDescent="0.3">
      <c r="A161" t="s">
        <v>2613</v>
      </c>
      <c r="B161" t="s">
        <v>2315</v>
      </c>
      <c r="C161" s="8">
        <v>46116</v>
      </c>
      <c r="D161" s="8">
        <v>46146</v>
      </c>
      <c r="E161" t="s">
        <v>2614</v>
      </c>
      <c r="F161" s="13">
        <v>57487.71</v>
      </c>
      <c r="G161" t="s">
        <v>2324</v>
      </c>
    </row>
    <row r="162" spans="1:8" x14ac:dyDescent="0.3">
      <c r="A162" t="s">
        <v>2615</v>
      </c>
      <c r="B162" t="s">
        <v>2319</v>
      </c>
      <c r="C162" s="8">
        <v>46131</v>
      </c>
      <c r="D162" s="8">
        <v>46161</v>
      </c>
      <c r="E162" t="s">
        <v>2616</v>
      </c>
      <c r="F162" s="13">
        <v>133120.95000000001</v>
      </c>
      <c r="G162" t="s">
        <v>2324</v>
      </c>
    </row>
    <row r="163" spans="1:8" x14ac:dyDescent="0.3">
      <c r="A163" t="s">
        <v>2617</v>
      </c>
      <c r="B163" t="s">
        <v>2339</v>
      </c>
      <c r="C163" s="8">
        <v>46122</v>
      </c>
      <c r="D163" s="8">
        <v>46152</v>
      </c>
      <c r="E163" t="s">
        <v>2412</v>
      </c>
      <c r="F163" s="13">
        <v>10394.33</v>
      </c>
      <c r="G163" t="s">
        <v>2324</v>
      </c>
    </row>
    <row r="164" spans="1:8" x14ac:dyDescent="0.3">
      <c r="A164" t="s">
        <v>2618</v>
      </c>
      <c r="B164" t="s">
        <v>2312</v>
      </c>
      <c r="C164" s="8">
        <v>46123</v>
      </c>
      <c r="D164" s="8">
        <v>46153</v>
      </c>
      <c r="E164" t="s">
        <v>2539</v>
      </c>
      <c r="F164" s="13">
        <v>59769.51</v>
      </c>
      <c r="G164" t="s">
        <v>2337</v>
      </c>
      <c r="H164" s="8">
        <v>46151</v>
      </c>
    </row>
    <row r="165" spans="1:8" x14ac:dyDescent="0.3">
      <c r="A165" t="s">
        <v>2619</v>
      </c>
      <c r="B165" t="s">
        <v>2335</v>
      </c>
      <c r="C165" s="8">
        <v>46127</v>
      </c>
      <c r="D165" s="8">
        <v>46157</v>
      </c>
      <c r="E165" t="s">
        <v>2620</v>
      </c>
      <c r="F165" s="13">
        <v>84319.25</v>
      </c>
      <c r="G165" t="s">
        <v>2337</v>
      </c>
      <c r="H165" s="8">
        <v>46161</v>
      </c>
    </row>
    <row r="166" spans="1:8" x14ac:dyDescent="0.3">
      <c r="A166" t="s">
        <v>2621</v>
      </c>
      <c r="B166" t="s">
        <v>2328</v>
      </c>
      <c r="C166" s="8">
        <v>46129</v>
      </c>
      <c r="D166" s="8">
        <v>46159</v>
      </c>
      <c r="E166" t="s">
        <v>2622</v>
      </c>
      <c r="F166" s="13">
        <v>121848.3</v>
      </c>
      <c r="G166" t="s">
        <v>2324</v>
      </c>
    </row>
    <row r="167" spans="1:8" x14ac:dyDescent="0.3">
      <c r="A167" t="s">
        <v>2623</v>
      </c>
      <c r="B167" t="s">
        <v>2350</v>
      </c>
      <c r="C167" s="8">
        <v>46135</v>
      </c>
      <c r="D167" s="8">
        <v>46165</v>
      </c>
      <c r="E167" t="s">
        <v>2624</v>
      </c>
      <c r="F167" s="13">
        <v>113202.63</v>
      </c>
      <c r="G167" t="s">
        <v>2333</v>
      </c>
    </row>
    <row r="168" spans="1:8" x14ac:dyDescent="0.3">
      <c r="A168" t="s">
        <v>2625</v>
      </c>
      <c r="B168" t="s">
        <v>2322</v>
      </c>
      <c r="C168" s="8">
        <v>46122</v>
      </c>
      <c r="D168" s="8">
        <v>46152</v>
      </c>
      <c r="E168" t="s">
        <v>2626</v>
      </c>
      <c r="F168" s="13">
        <v>86087.12</v>
      </c>
      <c r="G168" t="s">
        <v>2337</v>
      </c>
      <c r="H168" s="8">
        <v>46152</v>
      </c>
    </row>
    <row r="169" spans="1:8" x14ac:dyDescent="0.3">
      <c r="A169" t="s">
        <v>2627</v>
      </c>
      <c r="B169" t="s">
        <v>2312</v>
      </c>
      <c r="C169" s="8">
        <v>46119</v>
      </c>
      <c r="D169" s="8">
        <v>46149</v>
      </c>
      <c r="E169" t="s">
        <v>2320</v>
      </c>
      <c r="F169" s="13">
        <v>108584.69</v>
      </c>
      <c r="G169" t="s">
        <v>2317</v>
      </c>
    </row>
    <row r="170" spans="1:8" x14ac:dyDescent="0.3">
      <c r="A170" t="s">
        <v>2628</v>
      </c>
      <c r="B170" t="s">
        <v>2312</v>
      </c>
      <c r="C170" s="8">
        <v>46136</v>
      </c>
      <c r="D170" s="8">
        <v>46166</v>
      </c>
      <c r="E170" t="s">
        <v>2398</v>
      </c>
      <c r="F170" s="13">
        <v>73292.350000000006</v>
      </c>
      <c r="G170" t="s">
        <v>142</v>
      </c>
    </row>
    <row r="171" spans="1:8" x14ac:dyDescent="0.3">
      <c r="A171" t="s">
        <v>2629</v>
      </c>
      <c r="B171" t="s">
        <v>2369</v>
      </c>
      <c r="C171" s="8">
        <v>46133</v>
      </c>
      <c r="D171" s="8">
        <v>46163</v>
      </c>
      <c r="E171" t="s">
        <v>2630</v>
      </c>
      <c r="F171" s="13">
        <v>59311.24</v>
      </c>
      <c r="G171" t="s">
        <v>2333</v>
      </c>
    </row>
    <row r="172" spans="1:8" x14ac:dyDescent="0.3">
      <c r="A172" t="s">
        <v>2631</v>
      </c>
      <c r="B172" t="s">
        <v>2369</v>
      </c>
      <c r="C172" s="8">
        <v>46116</v>
      </c>
      <c r="D172" s="8">
        <v>46146</v>
      </c>
      <c r="E172" t="s">
        <v>2374</v>
      </c>
      <c r="F172" s="13">
        <v>113730.88</v>
      </c>
      <c r="G172" t="s">
        <v>2317</v>
      </c>
    </row>
    <row r="173" spans="1:8" x14ac:dyDescent="0.3">
      <c r="A173" t="s">
        <v>2632</v>
      </c>
      <c r="B173" t="s">
        <v>2310</v>
      </c>
      <c r="C173" s="8">
        <v>46136</v>
      </c>
      <c r="D173" s="8">
        <v>46166</v>
      </c>
      <c r="E173" t="s">
        <v>2633</v>
      </c>
      <c r="F173" s="13">
        <v>5281.23</v>
      </c>
      <c r="G173" t="s">
        <v>2333</v>
      </c>
    </row>
    <row r="174" spans="1:8" x14ac:dyDescent="0.3">
      <c r="A174" t="s">
        <v>2634</v>
      </c>
      <c r="B174" t="s">
        <v>2310</v>
      </c>
      <c r="C174" s="8">
        <v>46133</v>
      </c>
      <c r="D174" s="8">
        <v>46163</v>
      </c>
      <c r="E174" t="s">
        <v>2635</v>
      </c>
      <c r="F174" s="13">
        <v>128453.56</v>
      </c>
      <c r="G174" t="s">
        <v>2317</v>
      </c>
    </row>
    <row r="175" spans="1:8" x14ac:dyDescent="0.3">
      <c r="A175" t="s">
        <v>2636</v>
      </c>
      <c r="B175" t="s">
        <v>2369</v>
      </c>
      <c r="C175" s="8">
        <v>46117</v>
      </c>
      <c r="D175" s="8">
        <v>46147</v>
      </c>
      <c r="E175" t="s">
        <v>2408</v>
      </c>
      <c r="F175" s="13">
        <v>107264.69</v>
      </c>
      <c r="G175" t="s">
        <v>2333</v>
      </c>
    </row>
    <row r="176" spans="1:8" x14ac:dyDescent="0.3">
      <c r="A176" t="s">
        <v>2637</v>
      </c>
      <c r="B176" t="s">
        <v>2312</v>
      </c>
      <c r="C176" s="8">
        <v>46117</v>
      </c>
      <c r="D176" s="8">
        <v>46147</v>
      </c>
      <c r="E176" t="s">
        <v>2638</v>
      </c>
      <c r="F176" s="13">
        <v>139461.63</v>
      </c>
      <c r="G176" t="s">
        <v>142</v>
      </c>
    </row>
    <row r="177" spans="1:8" x14ac:dyDescent="0.3">
      <c r="A177" t="s">
        <v>2639</v>
      </c>
      <c r="B177" t="s">
        <v>2319</v>
      </c>
      <c r="C177" t="s">
        <v>2640</v>
      </c>
      <c r="D177" s="8">
        <v>46163</v>
      </c>
      <c r="F177" s="13">
        <v>139972.54</v>
      </c>
      <c r="G177" t="s">
        <v>2333</v>
      </c>
    </row>
    <row r="178" spans="1:8" x14ac:dyDescent="0.3">
      <c r="A178" t="s">
        <v>2641</v>
      </c>
      <c r="B178" t="s">
        <v>2377</v>
      </c>
      <c r="C178" s="8">
        <v>46128</v>
      </c>
      <c r="D178" s="8">
        <v>46158</v>
      </c>
      <c r="E178" t="s">
        <v>2642</v>
      </c>
      <c r="F178" s="13">
        <v>148359.93</v>
      </c>
      <c r="G178" t="s">
        <v>2324</v>
      </c>
    </row>
    <row r="179" spans="1:8" x14ac:dyDescent="0.3">
      <c r="A179" t="s">
        <v>2643</v>
      </c>
      <c r="B179" t="s">
        <v>2377</v>
      </c>
      <c r="C179" s="8">
        <v>46134</v>
      </c>
      <c r="D179" s="8">
        <v>46164</v>
      </c>
      <c r="E179" t="s">
        <v>2644</v>
      </c>
      <c r="F179" s="13">
        <v>137377.38</v>
      </c>
      <c r="G179" t="s">
        <v>2333</v>
      </c>
    </row>
    <row r="180" spans="1:8" x14ac:dyDescent="0.3">
      <c r="A180" t="s">
        <v>2645</v>
      </c>
      <c r="B180" t="s">
        <v>2319</v>
      </c>
      <c r="C180" s="8">
        <v>46126</v>
      </c>
      <c r="D180" s="8">
        <v>46156</v>
      </c>
      <c r="E180" t="s">
        <v>2646</v>
      </c>
      <c r="F180" s="13">
        <v>89915.38</v>
      </c>
      <c r="G180" t="s">
        <v>2317</v>
      </c>
    </row>
    <row r="181" spans="1:8" x14ac:dyDescent="0.3">
      <c r="A181" t="s">
        <v>2647</v>
      </c>
      <c r="B181" t="s">
        <v>2335</v>
      </c>
      <c r="C181" s="8">
        <v>46126</v>
      </c>
      <c r="D181" s="8">
        <v>46156</v>
      </c>
      <c r="E181" t="s">
        <v>2648</v>
      </c>
      <c r="F181" s="13">
        <v>30640.32</v>
      </c>
      <c r="G181" t="s">
        <v>2337</v>
      </c>
      <c r="H181" s="8">
        <v>46159</v>
      </c>
    </row>
    <row r="182" spans="1:8" x14ac:dyDescent="0.3">
      <c r="A182" t="s">
        <v>2645</v>
      </c>
      <c r="B182" t="s">
        <v>2310</v>
      </c>
      <c r="C182" s="8">
        <v>46134</v>
      </c>
      <c r="D182" s="8">
        <v>46164</v>
      </c>
      <c r="E182" t="s">
        <v>2649</v>
      </c>
      <c r="F182" s="13">
        <v>137557.97</v>
      </c>
      <c r="G182" t="s">
        <v>2317</v>
      </c>
    </row>
    <row r="183" spans="1:8" x14ac:dyDescent="0.3">
      <c r="A183" t="s">
        <v>2650</v>
      </c>
      <c r="B183" t="s">
        <v>2335</v>
      </c>
      <c r="C183" s="8">
        <v>46115</v>
      </c>
      <c r="D183" s="8">
        <v>46145</v>
      </c>
      <c r="E183" t="s">
        <v>2651</v>
      </c>
      <c r="F183" s="13">
        <v>108361.62</v>
      </c>
      <c r="G183" t="s">
        <v>2317</v>
      </c>
    </row>
    <row r="184" spans="1:8" x14ac:dyDescent="0.3">
      <c r="A184" t="s">
        <v>2652</v>
      </c>
      <c r="B184" t="s">
        <v>2331</v>
      </c>
      <c r="C184" s="8">
        <v>46136</v>
      </c>
      <c r="D184" s="8">
        <v>46166</v>
      </c>
      <c r="E184" t="s">
        <v>2653</v>
      </c>
      <c r="F184" s="13">
        <v>66745.960000000006</v>
      </c>
      <c r="G184" t="s">
        <v>142</v>
      </c>
    </row>
    <row r="185" spans="1:8" x14ac:dyDescent="0.3">
      <c r="A185" t="s">
        <v>2654</v>
      </c>
      <c r="B185" t="s">
        <v>2315</v>
      </c>
      <c r="C185" s="8">
        <v>46124</v>
      </c>
      <c r="D185" s="8">
        <v>46154</v>
      </c>
      <c r="E185" t="s">
        <v>2651</v>
      </c>
      <c r="F185" s="13">
        <v>65935.429999999993</v>
      </c>
      <c r="G185" t="s">
        <v>2333</v>
      </c>
    </row>
    <row r="186" spans="1:8" x14ac:dyDescent="0.3">
      <c r="A186" t="s">
        <v>2655</v>
      </c>
      <c r="B186" t="s">
        <v>2364</v>
      </c>
      <c r="C186" s="8">
        <v>46129</v>
      </c>
      <c r="D186" s="8">
        <v>46159</v>
      </c>
      <c r="E186" t="s">
        <v>2656</v>
      </c>
      <c r="F186" s="13">
        <v>142646.44</v>
      </c>
      <c r="G186" t="s">
        <v>142</v>
      </c>
    </row>
    <row r="187" spans="1:8" x14ac:dyDescent="0.3">
      <c r="A187" t="s">
        <v>2657</v>
      </c>
      <c r="B187" t="s">
        <v>2350</v>
      </c>
      <c r="C187" s="8">
        <v>46130</v>
      </c>
      <c r="D187" s="8">
        <v>46160</v>
      </c>
      <c r="E187" t="s">
        <v>2351</v>
      </c>
      <c r="F187" s="13">
        <v>133434.09</v>
      </c>
      <c r="G187" t="s">
        <v>2337</v>
      </c>
      <c r="H187" s="8">
        <v>46160</v>
      </c>
    </row>
    <row r="188" spans="1:8" x14ac:dyDescent="0.3">
      <c r="A188" t="s">
        <v>2658</v>
      </c>
      <c r="B188" t="s">
        <v>2315</v>
      </c>
      <c r="C188" s="8">
        <v>46121</v>
      </c>
      <c r="D188" s="8">
        <v>46151</v>
      </c>
      <c r="E188" t="s">
        <v>2659</v>
      </c>
      <c r="F188" s="13">
        <v>33400.71</v>
      </c>
      <c r="G188" t="s">
        <v>2333</v>
      </c>
    </row>
    <row r="189" spans="1:8" x14ac:dyDescent="0.3">
      <c r="A189" t="s">
        <v>2660</v>
      </c>
      <c r="B189" t="s">
        <v>2350</v>
      </c>
      <c r="C189" s="8">
        <v>46114</v>
      </c>
      <c r="D189" s="8">
        <v>46144</v>
      </c>
      <c r="E189" t="s">
        <v>2661</v>
      </c>
      <c r="F189" s="13">
        <v>34896.83</v>
      </c>
      <c r="G189" t="s">
        <v>2324</v>
      </c>
    </row>
    <row r="190" spans="1:8" x14ac:dyDescent="0.3">
      <c r="A190" t="s">
        <v>2662</v>
      </c>
      <c r="B190" t="s">
        <v>2315</v>
      </c>
      <c r="C190" s="8">
        <v>46136</v>
      </c>
      <c r="D190" s="8">
        <v>46166</v>
      </c>
      <c r="E190" t="s">
        <v>2510</v>
      </c>
      <c r="F190" s="13">
        <v>74082.649999999994</v>
      </c>
      <c r="G190" t="s">
        <v>2324</v>
      </c>
    </row>
    <row r="191" spans="1:8" x14ac:dyDescent="0.3">
      <c r="A191" t="s">
        <v>2663</v>
      </c>
      <c r="B191" t="s">
        <v>2322</v>
      </c>
      <c r="C191" s="8">
        <v>46115</v>
      </c>
      <c r="D191" s="8">
        <v>46145</v>
      </c>
      <c r="E191" t="s">
        <v>2664</v>
      </c>
      <c r="F191" s="13">
        <v>145615.51</v>
      </c>
      <c r="G191" t="s">
        <v>2317</v>
      </c>
    </row>
    <row r="192" spans="1:8" x14ac:dyDescent="0.3">
      <c r="A192" t="s">
        <v>2665</v>
      </c>
      <c r="B192" t="s">
        <v>2364</v>
      </c>
      <c r="C192" s="8">
        <v>46116</v>
      </c>
      <c r="D192" s="8">
        <v>46146</v>
      </c>
      <c r="E192" t="s">
        <v>2313</v>
      </c>
      <c r="F192" s="13">
        <v>49853.31</v>
      </c>
      <c r="G192" t="s">
        <v>142</v>
      </c>
    </row>
    <row r="193" spans="1:8" x14ac:dyDescent="0.3">
      <c r="A193" t="s">
        <v>2666</v>
      </c>
      <c r="B193" t="s">
        <v>2357</v>
      </c>
      <c r="C193" s="8">
        <v>46130</v>
      </c>
      <c r="D193" s="8">
        <v>46160</v>
      </c>
      <c r="E193" t="s">
        <v>2667</v>
      </c>
      <c r="F193" s="13">
        <v>7082.95</v>
      </c>
      <c r="G193" t="s">
        <v>142</v>
      </c>
    </row>
    <row r="194" spans="1:8" x14ac:dyDescent="0.3">
      <c r="A194" t="s">
        <v>2668</v>
      </c>
      <c r="B194" t="s">
        <v>2310</v>
      </c>
      <c r="C194" s="8">
        <v>46115</v>
      </c>
      <c r="D194" s="8">
        <v>46145</v>
      </c>
      <c r="E194" t="s">
        <v>2669</v>
      </c>
      <c r="F194" s="13">
        <v>7249.89</v>
      </c>
      <c r="G194" t="s">
        <v>2337</v>
      </c>
      <c r="H194" s="8">
        <v>46146</v>
      </c>
    </row>
    <row r="195" spans="1:8" x14ac:dyDescent="0.3">
      <c r="A195" t="s">
        <v>2670</v>
      </c>
      <c r="B195" t="s">
        <v>2331</v>
      </c>
      <c r="C195" s="8">
        <v>46138</v>
      </c>
      <c r="D195" s="8">
        <v>46168</v>
      </c>
      <c r="E195" t="s">
        <v>2671</v>
      </c>
      <c r="F195" s="13">
        <v>127250.09</v>
      </c>
      <c r="G195" t="s">
        <v>2337</v>
      </c>
      <c r="H195" s="8">
        <v>46164</v>
      </c>
    </row>
    <row r="196" spans="1:8" x14ac:dyDescent="0.3">
      <c r="A196" t="s">
        <v>2672</v>
      </c>
      <c r="B196" t="s">
        <v>2310</v>
      </c>
      <c r="C196" s="8">
        <v>46130</v>
      </c>
      <c r="D196" s="8">
        <v>46160</v>
      </c>
      <c r="E196" t="s">
        <v>2673</v>
      </c>
      <c r="F196" s="13">
        <v>99723.02</v>
      </c>
      <c r="G196" t="s">
        <v>142</v>
      </c>
    </row>
    <row r="197" spans="1:8" x14ac:dyDescent="0.3">
      <c r="A197" t="s">
        <v>2674</v>
      </c>
      <c r="B197" t="s">
        <v>2319</v>
      </c>
      <c r="C197" s="8">
        <v>46114</v>
      </c>
      <c r="D197" s="8">
        <v>46144</v>
      </c>
      <c r="E197" t="s">
        <v>2675</v>
      </c>
      <c r="F197" s="13">
        <v>40936.11</v>
      </c>
      <c r="G197" t="s">
        <v>2337</v>
      </c>
      <c r="H197" s="8">
        <v>46140</v>
      </c>
    </row>
    <row r="198" spans="1:8" x14ac:dyDescent="0.3">
      <c r="A198" t="s">
        <v>2676</v>
      </c>
      <c r="B198" t="s">
        <v>2369</v>
      </c>
      <c r="C198" s="8">
        <v>46112</v>
      </c>
      <c r="D198" s="8">
        <v>46142</v>
      </c>
      <c r="E198" t="s">
        <v>2374</v>
      </c>
      <c r="F198" s="13">
        <v>93495.06</v>
      </c>
      <c r="G198" t="s">
        <v>2317</v>
      </c>
    </row>
    <row r="199" spans="1:8" x14ac:dyDescent="0.3">
      <c r="A199" t="s">
        <v>2677</v>
      </c>
      <c r="B199" t="s">
        <v>2328</v>
      </c>
      <c r="C199" s="8">
        <v>46131</v>
      </c>
      <c r="D199" s="8">
        <v>46161</v>
      </c>
      <c r="E199" t="s">
        <v>2525</v>
      </c>
      <c r="F199" s="13">
        <v>50763.63</v>
      </c>
      <c r="G199" t="s">
        <v>2333</v>
      </c>
    </row>
    <row r="200" spans="1:8" x14ac:dyDescent="0.3">
      <c r="A200" t="s">
        <v>2678</v>
      </c>
      <c r="B200" t="s">
        <v>2312</v>
      </c>
      <c r="C200" s="8">
        <v>46139</v>
      </c>
      <c r="D200" s="8">
        <v>46169</v>
      </c>
      <c r="E200" t="s">
        <v>2679</v>
      </c>
      <c r="F200" s="13">
        <v>72843.850000000006</v>
      </c>
      <c r="G200" t="s">
        <v>2317</v>
      </c>
    </row>
    <row r="201" spans="1:8" x14ac:dyDescent="0.3">
      <c r="A201" t="s">
        <v>2680</v>
      </c>
      <c r="B201" t="s">
        <v>2339</v>
      </c>
      <c r="C201" s="8">
        <v>46128</v>
      </c>
      <c r="D201" s="8">
        <v>46158</v>
      </c>
      <c r="E201" t="s">
        <v>2340</v>
      </c>
      <c r="F201" s="13">
        <v>148766.29</v>
      </c>
      <c r="G201" t="s">
        <v>142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A8314-E207-490C-8487-B3966C26314D}">
  <dimension ref="A1:E151"/>
  <sheetViews>
    <sheetView workbookViewId="0"/>
  </sheetViews>
  <sheetFormatPr defaultRowHeight="14.4" x14ac:dyDescent="0.3"/>
  <cols>
    <col min="1" max="1" width="17.33203125" bestFit="1" customWidth="1"/>
    <col min="2" max="2" width="14.21875" bestFit="1" customWidth="1"/>
    <col min="3" max="3" width="14.109375" bestFit="1" customWidth="1"/>
    <col min="4" max="4" width="11" bestFit="1" customWidth="1"/>
    <col min="5" max="5" width="13.88671875" bestFit="1" customWidth="1"/>
  </cols>
  <sheetData>
    <row r="1" spans="1:5" x14ac:dyDescent="0.3">
      <c r="A1" s="6" t="s">
        <v>2681</v>
      </c>
      <c r="B1" s="6" t="s">
        <v>2682</v>
      </c>
      <c r="C1" s="6" t="s">
        <v>2683</v>
      </c>
      <c r="D1" s="6" t="s">
        <v>2684</v>
      </c>
      <c r="E1" s="6" t="s">
        <v>2685</v>
      </c>
    </row>
    <row r="2" spans="1:5" x14ac:dyDescent="0.3">
      <c r="A2" t="s">
        <v>2731</v>
      </c>
      <c r="B2" t="s">
        <v>2687</v>
      </c>
      <c r="C2" t="s">
        <v>142</v>
      </c>
      <c r="D2" s="13">
        <v>62396.55</v>
      </c>
    </row>
    <row r="3" spans="1:5" x14ac:dyDescent="0.3">
      <c r="A3" t="s">
        <v>2733</v>
      </c>
      <c r="B3" t="s">
        <v>2690</v>
      </c>
      <c r="C3" t="s">
        <v>2333</v>
      </c>
      <c r="D3" s="13">
        <v>42928.62</v>
      </c>
      <c r="E3" s="8">
        <v>46026</v>
      </c>
    </row>
    <row r="4" spans="1:5" x14ac:dyDescent="0.3">
      <c r="A4" t="s">
        <v>2723</v>
      </c>
      <c r="B4" t="s">
        <v>2691</v>
      </c>
      <c r="C4" t="s">
        <v>142</v>
      </c>
      <c r="D4" s="13">
        <v>18277.28</v>
      </c>
    </row>
    <row r="5" spans="1:5" x14ac:dyDescent="0.3">
      <c r="A5" t="s">
        <v>2704</v>
      </c>
      <c r="B5" t="s">
        <v>2693</v>
      </c>
      <c r="C5" t="s">
        <v>142</v>
      </c>
      <c r="D5" s="13">
        <v>130279.12</v>
      </c>
    </row>
    <row r="6" spans="1:5" x14ac:dyDescent="0.3">
      <c r="A6" t="s">
        <v>2706</v>
      </c>
      <c r="B6" t="s">
        <v>2695</v>
      </c>
      <c r="C6" t="s">
        <v>2700</v>
      </c>
      <c r="D6" s="13">
        <v>127332.1</v>
      </c>
      <c r="E6" s="8">
        <v>46035</v>
      </c>
    </row>
    <row r="7" spans="1:5" x14ac:dyDescent="0.3">
      <c r="A7" t="s">
        <v>2771</v>
      </c>
      <c r="B7" t="s">
        <v>2697</v>
      </c>
      <c r="C7" t="s">
        <v>2324</v>
      </c>
      <c r="D7" s="13">
        <v>66063.789999999994</v>
      </c>
    </row>
    <row r="8" spans="1:5" x14ac:dyDescent="0.3">
      <c r="A8" t="s">
        <v>2689</v>
      </c>
      <c r="B8" t="s">
        <v>2699</v>
      </c>
      <c r="C8" t="s">
        <v>142</v>
      </c>
      <c r="D8" s="13">
        <v>173219.52</v>
      </c>
      <c r="E8" s="8"/>
    </row>
    <row r="9" spans="1:5" x14ac:dyDescent="0.3">
      <c r="A9" t="s">
        <v>2752</v>
      </c>
      <c r="B9" t="s">
        <v>2701</v>
      </c>
      <c r="C9" t="s">
        <v>2324</v>
      </c>
      <c r="D9" s="13">
        <v>55399.58</v>
      </c>
    </row>
    <row r="10" spans="1:5" x14ac:dyDescent="0.3">
      <c r="A10" t="s">
        <v>2694</v>
      </c>
      <c r="B10" t="s">
        <v>2703</v>
      </c>
      <c r="C10" t="s">
        <v>2324</v>
      </c>
      <c r="D10" s="13">
        <v>137660.69</v>
      </c>
    </row>
    <row r="11" spans="1:5" x14ac:dyDescent="0.3">
      <c r="A11" t="s">
        <v>2702</v>
      </c>
      <c r="B11" t="s">
        <v>2705</v>
      </c>
      <c r="C11" t="s">
        <v>2333</v>
      </c>
      <c r="D11" s="13">
        <v>63116.23</v>
      </c>
      <c r="E11" s="8">
        <v>46028</v>
      </c>
    </row>
    <row r="12" spans="1:5" x14ac:dyDescent="0.3">
      <c r="A12" t="s">
        <v>2692</v>
      </c>
      <c r="B12" t="s">
        <v>2707</v>
      </c>
      <c r="C12" t="s">
        <v>2333</v>
      </c>
      <c r="D12" s="13">
        <v>178296.98</v>
      </c>
      <c r="E12" s="8">
        <v>46037</v>
      </c>
    </row>
    <row r="13" spans="1:5" x14ac:dyDescent="0.3">
      <c r="A13" t="s">
        <v>2726</v>
      </c>
      <c r="B13" t="s">
        <v>2708</v>
      </c>
      <c r="C13" t="s">
        <v>142</v>
      </c>
      <c r="D13" s="13">
        <v>82411.460000000006</v>
      </c>
      <c r="E13" s="8"/>
    </row>
    <row r="14" spans="1:5" x14ac:dyDescent="0.3">
      <c r="A14" t="s">
        <v>2749</v>
      </c>
      <c r="B14" t="s">
        <v>2709</v>
      </c>
      <c r="C14" t="s">
        <v>2700</v>
      </c>
      <c r="D14" s="13">
        <v>165878.66</v>
      </c>
      <c r="E14" s="8">
        <v>46023</v>
      </c>
    </row>
    <row r="15" spans="1:5" x14ac:dyDescent="0.3">
      <c r="A15" t="s">
        <v>2686</v>
      </c>
      <c r="B15" t="s">
        <v>2710</v>
      </c>
      <c r="C15" t="s">
        <v>2688</v>
      </c>
      <c r="D15" s="13">
        <v>5792.87</v>
      </c>
    </row>
    <row r="16" spans="1:5" x14ac:dyDescent="0.3">
      <c r="A16" t="s">
        <v>2731</v>
      </c>
      <c r="B16" t="s">
        <v>2712</v>
      </c>
      <c r="C16" t="s">
        <v>142</v>
      </c>
      <c r="D16" s="13">
        <v>56881.919999999998</v>
      </c>
    </row>
    <row r="17" spans="1:5" x14ac:dyDescent="0.3">
      <c r="A17" t="s">
        <v>2729</v>
      </c>
      <c r="B17" t="s">
        <v>2713</v>
      </c>
      <c r="C17" t="s">
        <v>142</v>
      </c>
      <c r="D17" s="13">
        <v>94167.61</v>
      </c>
      <c r="E17" s="8"/>
    </row>
    <row r="18" spans="1:5" x14ac:dyDescent="0.3">
      <c r="A18" t="s">
        <v>2733</v>
      </c>
      <c r="B18" t="s">
        <v>2714</v>
      </c>
      <c r="C18" t="s">
        <v>2324</v>
      </c>
      <c r="D18" s="13">
        <v>106788.18</v>
      </c>
      <c r="E18" s="8"/>
    </row>
    <row r="19" spans="1:5" x14ac:dyDescent="0.3">
      <c r="A19" t="s">
        <v>2711</v>
      </c>
      <c r="B19" t="s">
        <v>2715</v>
      </c>
      <c r="C19" t="s">
        <v>2688</v>
      </c>
      <c r="D19" s="13">
        <v>107609.01</v>
      </c>
    </row>
    <row r="20" spans="1:5" x14ac:dyDescent="0.3">
      <c r="A20" t="s">
        <v>2716</v>
      </c>
      <c r="B20" t="s">
        <v>2717</v>
      </c>
      <c r="C20" t="s">
        <v>2333</v>
      </c>
      <c r="D20" s="13">
        <v>93455.54</v>
      </c>
      <c r="E20" s="8">
        <v>46028</v>
      </c>
    </row>
    <row r="21" spans="1:5" x14ac:dyDescent="0.3">
      <c r="A21" t="s">
        <v>2752</v>
      </c>
      <c r="B21" t="s">
        <v>2718</v>
      </c>
      <c r="C21" t="s">
        <v>142</v>
      </c>
      <c r="D21" s="13">
        <v>157927.01</v>
      </c>
    </row>
    <row r="22" spans="1:5" x14ac:dyDescent="0.3">
      <c r="A22" t="s">
        <v>2692</v>
      </c>
      <c r="B22" t="s">
        <v>2719</v>
      </c>
      <c r="C22" t="s">
        <v>2700</v>
      </c>
      <c r="D22" s="13">
        <v>122813.43</v>
      </c>
      <c r="E22" s="8">
        <v>46049</v>
      </c>
    </row>
    <row r="23" spans="1:5" x14ac:dyDescent="0.3">
      <c r="A23" t="s">
        <v>2723</v>
      </c>
      <c r="B23" t="s">
        <v>2720</v>
      </c>
      <c r="C23" t="s">
        <v>2688</v>
      </c>
      <c r="D23" s="13">
        <v>159295.46</v>
      </c>
    </row>
    <row r="24" spans="1:5" x14ac:dyDescent="0.3">
      <c r="A24" t="s">
        <v>2749</v>
      </c>
      <c r="B24" t="s">
        <v>2721</v>
      </c>
      <c r="C24" t="s">
        <v>2688</v>
      </c>
      <c r="D24" s="13">
        <v>60632.91</v>
      </c>
      <c r="E24" s="8"/>
    </row>
    <row r="25" spans="1:5" x14ac:dyDescent="0.3">
      <c r="A25" t="s">
        <v>2686</v>
      </c>
      <c r="B25" t="s">
        <v>2722</v>
      </c>
      <c r="C25" t="s">
        <v>2324</v>
      </c>
      <c r="D25" s="13">
        <v>30605.83</v>
      </c>
    </row>
    <row r="26" spans="1:5" x14ac:dyDescent="0.3">
      <c r="A26" t="s">
        <v>2711</v>
      </c>
      <c r="B26" t="s">
        <v>2724</v>
      </c>
      <c r="C26" t="s">
        <v>2688</v>
      </c>
      <c r="D26" s="13">
        <v>113890.83</v>
      </c>
      <c r="E26" s="8"/>
    </row>
    <row r="27" spans="1:5" x14ac:dyDescent="0.3">
      <c r="A27" t="s">
        <v>2771</v>
      </c>
      <c r="B27" t="s">
        <v>2725</v>
      </c>
      <c r="C27" t="s">
        <v>2324</v>
      </c>
      <c r="D27" s="13">
        <v>70737.41</v>
      </c>
      <c r="E27" s="8"/>
    </row>
    <row r="28" spans="1:5" x14ac:dyDescent="0.3">
      <c r="A28" t="s">
        <v>2702</v>
      </c>
      <c r="B28" t="s">
        <v>2727</v>
      </c>
      <c r="C28" t="s">
        <v>2688</v>
      </c>
      <c r="D28" s="13">
        <v>84116.36</v>
      </c>
      <c r="E28" s="8"/>
    </row>
    <row r="29" spans="1:5" x14ac:dyDescent="0.3">
      <c r="A29" t="s">
        <v>2803</v>
      </c>
      <c r="B29" t="s">
        <v>2728</v>
      </c>
      <c r="C29" t="s">
        <v>2688</v>
      </c>
      <c r="D29" s="13">
        <v>188001.26</v>
      </c>
    </row>
    <row r="30" spans="1:5" x14ac:dyDescent="0.3">
      <c r="A30" t="s">
        <v>2711</v>
      </c>
      <c r="B30" t="s">
        <v>2730</v>
      </c>
      <c r="C30" t="s">
        <v>2333</v>
      </c>
      <c r="D30" s="13">
        <v>66108.81</v>
      </c>
      <c r="E30" s="8">
        <v>46049</v>
      </c>
    </row>
    <row r="31" spans="1:5" x14ac:dyDescent="0.3">
      <c r="A31" t="s">
        <v>2698</v>
      </c>
      <c r="B31" t="s">
        <v>2732</v>
      </c>
      <c r="C31" t="s">
        <v>142</v>
      </c>
      <c r="D31" s="13">
        <v>23282.93</v>
      </c>
    </row>
    <row r="32" spans="1:5" x14ac:dyDescent="0.3">
      <c r="A32" t="s">
        <v>2706</v>
      </c>
      <c r="B32" t="s">
        <v>2734</v>
      </c>
      <c r="C32" t="s">
        <v>2688</v>
      </c>
      <c r="D32" s="13">
        <v>25232.94</v>
      </c>
      <c r="E32" s="8"/>
    </row>
    <row r="33" spans="1:5" x14ac:dyDescent="0.3">
      <c r="A33" t="s">
        <v>2716</v>
      </c>
      <c r="B33" t="s">
        <v>2735</v>
      </c>
      <c r="C33" t="s">
        <v>2333</v>
      </c>
      <c r="D33" s="13">
        <v>13851.7</v>
      </c>
      <c r="E33" s="8">
        <v>46028</v>
      </c>
    </row>
    <row r="34" spans="1:5" x14ac:dyDescent="0.3">
      <c r="A34" t="s">
        <v>2696</v>
      </c>
      <c r="B34" t="s">
        <v>2736</v>
      </c>
      <c r="C34" t="s">
        <v>2324</v>
      </c>
      <c r="D34" s="13">
        <v>163498.35999999999</v>
      </c>
    </row>
    <row r="35" spans="1:5" x14ac:dyDescent="0.3">
      <c r="A35" t="s">
        <v>2771</v>
      </c>
      <c r="B35" t="s">
        <v>2737</v>
      </c>
      <c r="C35" t="s">
        <v>2700</v>
      </c>
      <c r="D35" s="13">
        <v>33152.19</v>
      </c>
      <c r="E35" s="8">
        <v>46034</v>
      </c>
    </row>
    <row r="36" spans="1:5" x14ac:dyDescent="0.3">
      <c r="A36" t="s">
        <v>2726</v>
      </c>
      <c r="B36" t="s">
        <v>2738</v>
      </c>
      <c r="C36" t="s">
        <v>2324</v>
      </c>
      <c r="D36" s="13">
        <v>88082.03</v>
      </c>
    </row>
    <row r="37" spans="1:5" x14ac:dyDescent="0.3">
      <c r="A37" t="s">
        <v>2803</v>
      </c>
      <c r="B37" t="s">
        <v>2739</v>
      </c>
      <c r="C37" t="s">
        <v>2700</v>
      </c>
      <c r="D37" s="13">
        <v>199912.03</v>
      </c>
      <c r="E37" s="8">
        <v>46049</v>
      </c>
    </row>
    <row r="38" spans="1:5" x14ac:dyDescent="0.3">
      <c r="A38" t="s">
        <v>2731</v>
      </c>
      <c r="B38" t="s">
        <v>2740</v>
      </c>
      <c r="C38" t="s">
        <v>2324</v>
      </c>
      <c r="D38" s="13">
        <v>79166.31</v>
      </c>
    </row>
    <row r="39" spans="1:5" x14ac:dyDescent="0.3">
      <c r="A39" t="s">
        <v>2702</v>
      </c>
      <c r="B39" t="s">
        <v>2741</v>
      </c>
      <c r="C39" t="s">
        <v>2700</v>
      </c>
      <c r="D39" s="13">
        <v>156779.98000000001</v>
      </c>
      <c r="E39" s="8">
        <v>46050</v>
      </c>
    </row>
    <row r="40" spans="1:5" x14ac:dyDescent="0.3">
      <c r="A40" t="s">
        <v>2711</v>
      </c>
      <c r="B40" t="s">
        <v>2742</v>
      </c>
      <c r="C40" t="s">
        <v>2688</v>
      </c>
      <c r="D40" s="13">
        <v>32119.72</v>
      </c>
      <c r="E40" s="8"/>
    </row>
    <row r="41" spans="1:5" x14ac:dyDescent="0.3">
      <c r="A41" t="s">
        <v>2698</v>
      </c>
      <c r="B41" t="s">
        <v>2743</v>
      </c>
      <c r="C41" t="s">
        <v>2324</v>
      </c>
      <c r="D41" s="13">
        <v>13001.75</v>
      </c>
      <c r="E41" s="8"/>
    </row>
    <row r="42" spans="1:5" x14ac:dyDescent="0.3">
      <c r="A42" t="s">
        <v>2716</v>
      </c>
      <c r="B42" t="s">
        <v>2744</v>
      </c>
      <c r="C42" t="s">
        <v>2324</v>
      </c>
      <c r="D42" s="13">
        <v>63497.18</v>
      </c>
      <c r="E42" s="8"/>
    </row>
    <row r="43" spans="1:5" x14ac:dyDescent="0.3">
      <c r="A43" t="s">
        <v>2704</v>
      </c>
      <c r="B43" t="s">
        <v>2745</v>
      </c>
      <c r="C43" t="s">
        <v>142</v>
      </c>
      <c r="D43" s="13">
        <v>40574.639999999999</v>
      </c>
    </row>
    <row r="44" spans="1:5" x14ac:dyDescent="0.3">
      <c r="A44" t="s">
        <v>2723</v>
      </c>
      <c r="B44" t="s">
        <v>2746</v>
      </c>
      <c r="C44" t="s">
        <v>2688</v>
      </c>
      <c r="D44" s="13">
        <v>137890.1</v>
      </c>
      <c r="E44" s="8"/>
    </row>
    <row r="45" spans="1:5" x14ac:dyDescent="0.3">
      <c r="A45" t="s">
        <v>2733</v>
      </c>
      <c r="B45" t="s">
        <v>2747</v>
      </c>
      <c r="C45" t="s">
        <v>2333</v>
      </c>
      <c r="D45" s="13">
        <v>76633.06</v>
      </c>
      <c r="E45" s="8">
        <v>46061</v>
      </c>
    </row>
    <row r="46" spans="1:5" x14ac:dyDescent="0.3">
      <c r="A46" t="s">
        <v>2726</v>
      </c>
      <c r="B46" t="s">
        <v>2748</v>
      </c>
      <c r="C46" t="s">
        <v>2688</v>
      </c>
      <c r="D46" s="13">
        <v>10867.95</v>
      </c>
      <c r="E46" s="8"/>
    </row>
    <row r="47" spans="1:5" x14ac:dyDescent="0.3">
      <c r="A47" t="s">
        <v>2706</v>
      </c>
      <c r="B47" t="s">
        <v>2750</v>
      </c>
      <c r="C47" t="s">
        <v>2700</v>
      </c>
      <c r="D47" s="13">
        <v>140028.07</v>
      </c>
      <c r="E47" s="8">
        <v>46069</v>
      </c>
    </row>
    <row r="48" spans="1:5" x14ac:dyDescent="0.3">
      <c r="A48" t="s">
        <v>2686</v>
      </c>
      <c r="B48" t="s">
        <v>2751</v>
      </c>
      <c r="C48" t="s">
        <v>2700</v>
      </c>
      <c r="D48" s="13">
        <v>139199.67999999999</v>
      </c>
      <c r="E48" s="8">
        <v>46057</v>
      </c>
    </row>
    <row r="49" spans="1:5" x14ac:dyDescent="0.3">
      <c r="A49" t="s">
        <v>2694</v>
      </c>
      <c r="B49" t="s">
        <v>2753</v>
      </c>
      <c r="C49" t="s">
        <v>142</v>
      </c>
      <c r="D49" s="13">
        <v>195855.49</v>
      </c>
      <c r="E49" s="8"/>
    </row>
    <row r="50" spans="1:5" x14ac:dyDescent="0.3">
      <c r="A50" t="s">
        <v>2803</v>
      </c>
      <c r="B50" t="s">
        <v>2754</v>
      </c>
      <c r="C50" t="s">
        <v>2688</v>
      </c>
      <c r="D50" s="13">
        <v>150432.01999999999</v>
      </c>
    </row>
    <row r="51" spans="1:5" x14ac:dyDescent="0.3">
      <c r="A51" t="s">
        <v>2692</v>
      </c>
      <c r="B51" t="s">
        <v>2755</v>
      </c>
      <c r="C51" t="s">
        <v>2324</v>
      </c>
      <c r="D51" s="13">
        <v>55621.11</v>
      </c>
    </row>
    <row r="52" spans="1:5" x14ac:dyDescent="0.3">
      <c r="A52" t="s">
        <v>2704</v>
      </c>
      <c r="B52" t="s">
        <v>2756</v>
      </c>
      <c r="C52" t="s">
        <v>142</v>
      </c>
      <c r="D52" s="13">
        <v>170188.29</v>
      </c>
      <c r="E52" s="8"/>
    </row>
    <row r="53" spans="1:5" x14ac:dyDescent="0.3">
      <c r="A53" t="s">
        <v>2771</v>
      </c>
      <c r="B53" t="s">
        <v>2757</v>
      </c>
      <c r="C53" t="s">
        <v>2333</v>
      </c>
      <c r="D53" s="13">
        <v>90298.36</v>
      </c>
      <c r="E53" s="8">
        <v>46067</v>
      </c>
    </row>
    <row r="54" spans="1:5" x14ac:dyDescent="0.3">
      <c r="A54" t="s">
        <v>2696</v>
      </c>
      <c r="B54" t="s">
        <v>2758</v>
      </c>
      <c r="C54" t="s">
        <v>142</v>
      </c>
      <c r="D54" s="13">
        <v>173619.92</v>
      </c>
    </row>
    <row r="55" spans="1:5" x14ac:dyDescent="0.3">
      <c r="A55" t="s">
        <v>2711</v>
      </c>
      <c r="B55" t="s">
        <v>2759</v>
      </c>
      <c r="C55" t="s">
        <v>2324</v>
      </c>
      <c r="D55" s="13">
        <v>124695.01</v>
      </c>
    </row>
    <row r="56" spans="1:5" x14ac:dyDescent="0.3">
      <c r="A56" t="s">
        <v>2689</v>
      </c>
      <c r="B56" t="s">
        <v>2760</v>
      </c>
      <c r="C56" t="s">
        <v>2700</v>
      </c>
      <c r="D56" s="13">
        <v>25298.93</v>
      </c>
      <c r="E56" s="8">
        <v>46056</v>
      </c>
    </row>
    <row r="57" spans="1:5" x14ac:dyDescent="0.3">
      <c r="A57" t="s">
        <v>2686</v>
      </c>
      <c r="B57" t="s">
        <v>2761</v>
      </c>
      <c r="C57" t="s">
        <v>2700</v>
      </c>
      <c r="D57" s="13">
        <v>137513.91</v>
      </c>
      <c r="E57" s="8">
        <v>46063</v>
      </c>
    </row>
    <row r="58" spans="1:5" x14ac:dyDescent="0.3">
      <c r="A58" t="s">
        <v>2733</v>
      </c>
      <c r="B58" t="s">
        <v>2762</v>
      </c>
      <c r="C58" t="s">
        <v>142</v>
      </c>
      <c r="D58" s="13">
        <v>157108.04999999999</v>
      </c>
      <c r="E58" s="8"/>
    </row>
    <row r="59" spans="1:5" x14ac:dyDescent="0.3">
      <c r="A59" t="s">
        <v>2752</v>
      </c>
      <c r="B59" t="s">
        <v>2763</v>
      </c>
      <c r="C59" t="s">
        <v>2688</v>
      </c>
      <c r="D59" s="13">
        <v>177266.74</v>
      </c>
    </row>
    <row r="60" spans="1:5" x14ac:dyDescent="0.3">
      <c r="A60" t="s">
        <v>2702</v>
      </c>
      <c r="B60" t="s">
        <v>2764</v>
      </c>
      <c r="C60" t="s">
        <v>142</v>
      </c>
      <c r="D60" s="13">
        <v>89431.05</v>
      </c>
    </row>
    <row r="61" spans="1:5" x14ac:dyDescent="0.3">
      <c r="A61" t="s">
        <v>2726</v>
      </c>
      <c r="B61" t="s">
        <v>2765</v>
      </c>
      <c r="C61" t="s">
        <v>2324</v>
      </c>
      <c r="D61" s="13">
        <v>4217.53</v>
      </c>
    </row>
    <row r="62" spans="1:5" x14ac:dyDescent="0.3">
      <c r="A62" t="s">
        <v>2696</v>
      </c>
      <c r="B62" t="s">
        <v>2766</v>
      </c>
      <c r="C62" t="s">
        <v>2324</v>
      </c>
      <c r="D62" s="13">
        <v>125376.28</v>
      </c>
    </row>
    <row r="63" spans="1:5" x14ac:dyDescent="0.3">
      <c r="A63" t="s">
        <v>2689</v>
      </c>
      <c r="B63" t="s">
        <v>2767</v>
      </c>
      <c r="C63" t="s">
        <v>2700</v>
      </c>
      <c r="D63" s="13">
        <v>14654.38</v>
      </c>
      <c r="E63" s="8">
        <v>46081</v>
      </c>
    </row>
    <row r="64" spans="1:5" x14ac:dyDescent="0.3">
      <c r="A64" t="s">
        <v>2723</v>
      </c>
      <c r="B64" t="s">
        <v>2768</v>
      </c>
      <c r="C64" t="s">
        <v>2324</v>
      </c>
      <c r="D64" s="13">
        <v>17891.98</v>
      </c>
      <c r="E64" s="8"/>
    </row>
    <row r="65" spans="1:5" x14ac:dyDescent="0.3">
      <c r="A65" t="s">
        <v>2698</v>
      </c>
      <c r="B65" t="s">
        <v>2769</v>
      </c>
      <c r="C65" t="s">
        <v>2700</v>
      </c>
      <c r="D65" s="13">
        <v>92377.84</v>
      </c>
      <c r="E65" s="8">
        <v>46057</v>
      </c>
    </row>
    <row r="66" spans="1:5" x14ac:dyDescent="0.3">
      <c r="A66" t="s">
        <v>2692</v>
      </c>
      <c r="B66" t="s">
        <v>2770</v>
      </c>
      <c r="C66" t="s">
        <v>2333</v>
      </c>
      <c r="D66" s="13">
        <v>101561.03</v>
      </c>
      <c r="E66" s="8">
        <v>46061</v>
      </c>
    </row>
    <row r="67" spans="1:5" x14ac:dyDescent="0.3">
      <c r="A67" t="s">
        <v>2711</v>
      </c>
      <c r="B67" t="s">
        <v>2772</v>
      </c>
      <c r="C67" t="s">
        <v>2688</v>
      </c>
      <c r="D67" s="13">
        <v>147498.85999999999</v>
      </c>
    </row>
    <row r="68" spans="1:5" x14ac:dyDescent="0.3">
      <c r="A68" t="s">
        <v>2729</v>
      </c>
      <c r="B68" t="s">
        <v>2773</v>
      </c>
      <c r="C68" t="s">
        <v>2700</v>
      </c>
      <c r="D68" s="13">
        <v>45990.43</v>
      </c>
      <c r="E68" s="8">
        <v>46065</v>
      </c>
    </row>
    <row r="69" spans="1:5" x14ac:dyDescent="0.3">
      <c r="A69" t="s">
        <v>2731</v>
      </c>
      <c r="B69" t="s">
        <v>2774</v>
      </c>
      <c r="C69" t="s">
        <v>2333</v>
      </c>
      <c r="D69" s="13">
        <v>58696.52</v>
      </c>
      <c r="E69" s="8">
        <v>46058</v>
      </c>
    </row>
    <row r="70" spans="1:5" x14ac:dyDescent="0.3">
      <c r="A70" t="s">
        <v>2686</v>
      </c>
      <c r="B70" t="s">
        <v>2775</v>
      </c>
      <c r="C70" t="s">
        <v>2700</v>
      </c>
      <c r="D70" s="13">
        <v>51219.65</v>
      </c>
      <c r="E70" s="8">
        <v>46075</v>
      </c>
    </row>
    <row r="71" spans="1:5" x14ac:dyDescent="0.3">
      <c r="A71" t="s">
        <v>2752</v>
      </c>
      <c r="B71" t="s">
        <v>2776</v>
      </c>
      <c r="C71" t="s">
        <v>142</v>
      </c>
      <c r="D71" s="13">
        <v>62098.17</v>
      </c>
      <c r="E71" s="8"/>
    </row>
    <row r="72" spans="1:5" x14ac:dyDescent="0.3">
      <c r="A72" t="s">
        <v>2749</v>
      </c>
      <c r="B72" t="s">
        <v>2777</v>
      </c>
      <c r="C72" t="s">
        <v>2333</v>
      </c>
      <c r="D72" s="13">
        <v>192095.21</v>
      </c>
      <c r="E72" s="8">
        <v>46062</v>
      </c>
    </row>
    <row r="73" spans="1:5" x14ac:dyDescent="0.3">
      <c r="A73" t="s">
        <v>2771</v>
      </c>
      <c r="B73" t="s">
        <v>2778</v>
      </c>
      <c r="C73" t="s">
        <v>2688</v>
      </c>
      <c r="D73" s="13">
        <v>101987.18</v>
      </c>
      <c r="E73" s="8"/>
    </row>
    <row r="74" spans="1:5" x14ac:dyDescent="0.3">
      <c r="A74" t="s">
        <v>2733</v>
      </c>
      <c r="B74" t="s">
        <v>2779</v>
      </c>
      <c r="C74" t="s">
        <v>2688</v>
      </c>
      <c r="D74" s="13">
        <v>73063.34</v>
      </c>
      <c r="E74" s="8"/>
    </row>
    <row r="75" spans="1:5" x14ac:dyDescent="0.3">
      <c r="A75" t="s">
        <v>2694</v>
      </c>
      <c r="B75" t="s">
        <v>2780</v>
      </c>
      <c r="C75" t="s">
        <v>2324</v>
      </c>
      <c r="D75" s="13">
        <v>141952.32000000001</v>
      </c>
    </row>
    <row r="76" spans="1:5" x14ac:dyDescent="0.3">
      <c r="A76" t="s">
        <v>2803</v>
      </c>
      <c r="B76" t="s">
        <v>2781</v>
      </c>
      <c r="C76" t="s">
        <v>2688</v>
      </c>
      <c r="D76" s="13">
        <v>111820.62</v>
      </c>
    </row>
    <row r="77" spans="1:5" x14ac:dyDescent="0.3">
      <c r="A77" t="s">
        <v>2729</v>
      </c>
      <c r="B77" t="s">
        <v>2782</v>
      </c>
      <c r="C77" t="s">
        <v>142</v>
      </c>
      <c r="D77" s="13">
        <v>87285.64</v>
      </c>
      <c r="E77" s="8"/>
    </row>
    <row r="78" spans="1:5" x14ac:dyDescent="0.3">
      <c r="A78" t="s">
        <v>2706</v>
      </c>
      <c r="B78" t="s">
        <v>2783</v>
      </c>
      <c r="C78" t="s">
        <v>2700</v>
      </c>
      <c r="D78" s="13">
        <v>19827.12</v>
      </c>
      <c r="E78" s="8">
        <v>46064</v>
      </c>
    </row>
    <row r="79" spans="1:5" x14ac:dyDescent="0.3">
      <c r="A79" t="s">
        <v>2704</v>
      </c>
      <c r="B79" t="s">
        <v>2784</v>
      </c>
      <c r="C79" t="s">
        <v>2333</v>
      </c>
      <c r="D79" s="13">
        <v>54896.77</v>
      </c>
      <c r="E79" s="8">
        <v>46054</v>
      </c>
    </row>
    <row r="80" spans="1:5" x14ac:dyDescent="0.3">
      <c r="A80" t="s">
        <v>2689</v>
      </c>
      <c r="B80" t="s">
        <v>2785</v>
      </c>
      <c r="C80" t="s">
        <v>2688</v>
      </c>
      <c r="D80" s="13">
        <v>8766.0400000000009</v>
      </c>
    </row>
    <row r="81" spans="1:5" x14ac:dyDescent="0.3">
      <c r="A81" t="s">
        <v>2716</v>
      </c>
      <c r="B81" t="s">
        <v>2786</v>
      </c>
      <c r="C81" t="s">
        <v>142</v>
      </c>
      <c r="D81" s="13">
        <v>24195.13</v>
      </c>
    </row>
    <row r="82" spans="1:5" x14ac:dyDescent="0.3">
      <c r="A82" t="s">
        <v>2698</v>
      </c>
      <c r="B82" t="s">
        <v>2787</v>
      </c>
      <c r="C82" t="s">
        <v>2324</v>
      </c>
      <c r="D82" s="13">
        <v>118987.54</v>
      </c>
      <c r="E82" s="8"/>
    </row>
    <row r="83" spans="1:5" x14ac:dyDescent="0.3">
      <c r="A83" t="s">
        <v>2696</v>
      </c>
      <c r="B83" t="s">
        <v>2788</v>
      </c>
      <c r="C83" t="s">
        <v>2333</v>
      </c>
      <c r="D83" s="13">
        <v>164803.71</v>
      </c>
      <c r="E83" s="8">
        <v>46096</v>
      </c>
    </row>
    <row r="84" spans="1:5" x14ac:dyDescent="0.3">
      <c r="A84" t="s">
        <v>2711</v>
      </c>
      <c r="B84" t="s">
        <v>2789</v>
      </c>
      <c r="C84" t="s">
        <v>142</v>
      </c>
      <c r="D84" s="13">
        <v>94526.88</v>
      </c>
    </row>
    <row r="85" spans="1:5" x14ac:dyDescent="0.3">
      <c r="A85" t="s">
        <v>2749</v>
      </c>
      <c r="B85" t="s">
        <v>2790</v>
      </c>
      <c r="C85" t="s">
        <v>2700</v>
      </c>
      <c r="D85" s="13">
        <v>73218.09</v>
      </c>
      <c r="E85" s="8">
        <v>46089</v>
      </c>
    </row>
    <row r="86" spans="1:5" x14ac:dyDescent="0.3">
      <c r="A86" t="s">
        <v>2731</v>
      </c>
      <c r="B86" t="s">
        <v>2791</v>
      </c>
      <c r="C86" t="s">
        <v>2688</v>
      </c>
      <c r="D86" s="13">
        <v>112349.67</v>
      </c>
    </row>
    <row r="87" spans="1:5" x14ac:dyDescent="0.3">
      <c r="A87" t="s">
        <v>2692</v>
      </c>
      <c r="B87" t="s">
        <v>2792</v>
      </c>
      <c r="C87" t="s">
        <v>2700</v>
      </c>
      <c r="D87" s="13">
        <v>88476.22</v>
      </c>
      <c r="E87" s="8">
        <v>46101</v>
      </c>
    </row>
    <row r="88" spans="1:5" x14ac:dyDescent="0.3">
      <c r="A88" t="s">
        <v>2702</v>
      </c>
      <c r="B88" t="s">
        <v>2793</v>
      </c>
      <c r="C88" t="s">
        <v>142</v>
      </c>
      <c r="D88" s="13">
        <v>56123.41</v>
      </c>
    </row>
    <row r="89" spans="1:5" x14ac:dyDescent="0.3">
      <c r="A89" t="s">
        <v>2723</v>
      </c>
      <c r="B89" t="s">
        <v>2794</v>
      </c>
      <c r="C89" t="s">
        <v>2324</v>
      </c>
      <c r="D89" s="13">
        <v>198743.19</v>
      </c>
      <c r="E89" s="8"/>
    </row>
    <row r="90" spans="1:5" x14ac:dyDescent="0.3">
      <c r="A90" t="s">
        <v>2686</v>
      </c>
      <c r="B90" t="s">
        <v>2795</v>
      </c>
      <c r="C90" t="s">
        <v>2333</v>
      </c>
      <c r="D90" s="13">
        <v>71892.56</v>
      </c>
      <c r="E90" s="8">
        <v>46093</v>
      </c>
    </row>
    <row r="91" spans="1:5" x14ac:dyDescent="0.3">
      <c r="A91" t="s">
        <v>2726</v>
      </c>
      <c r="B91" t="s">
        <v>2796</v>
      </c>
      <c r="C91" t="s">
        <v>2688</v>
      </c>
      <c r="D91" s="13">
        <v>43567.89</v>
      </c>
    </row>
    <row r="92" spans="1:5" x14ac:dyDescent="0.3">
      <c r="A92" t="s">
        <v>2752</v>
      </c>
      <c r="B92" t="s">
        <v>2797</v>
      </c>
      <c r="C92" t="s">
        <v>2700</v>
      </c>
      <c r="D92" s="13">
        <v>159834.26999999999</v>
      </c>
      <c r="E92" s="8">
        <v>46086</v>
      </c>
    </row>
    <row r="93" spans="1:5" x14ac:dyDescent="0.3">
      <c r="A93" t="s">
        <v>2729</v>
      </c>
      <c r="B93" t="s">
        <v>2798</v>
      </c>
      <c r="C93" t="s">
        <v>2324</v>
      </c>
      <c r="D93" s="13">
        <v>78641.929999999993</v>
      </c>
    </row>
    <row r="94" spans="1:5" x14ac:dyDescent="0.3">
      <c r="A94" t="s">
        <v>2771</v>
      </c>
      <c r="B94" t="s">
        <v>2799</v>
      </c>
      <c r="C94" t="s">
        <v>142</v>
      </c>
      <c r="D94" s="13">
        <v>124598.37</v>
      </c>
    </row>
    <row r="95" spans="1:5" x14ac:dyDescent="0.3">
      <c r="A95" t="s">
        <v>2704</v>
      </c>
      <c r="B95" t="s">
        <v>2800</v>
      </c>
      <c r="C95" t="s">
        <v>2333</v>
      </c>
      <c r="D95" s="13">
        <v>67129.84</v>
      </c>
      <c r="E95" s="8">
        <v>46099</v>
      </c>
    </row>
    <row r="96" spans="1:5" x14ac:dyDescent="0.3">
      <c r="A96" t="s">
        <v>2733</v>
      </c>
      <c r="B96" t="s">
        <v>2801</v>
      </c>
      <c r="C96" t="s">
        <v>2700</v>
      </c>
      <c r="D96" s="13">
        <v>182476.51</v>
      </c>
      <c r="E96" s="8">
        <v>46088</v>
      </c>
    </row>
    <row r="97" spans="1:5" x14ac:dyDescent="0.3">
      <c r="A97" t="s">
        <v>2706</v>
      </c>
      <c r="B97" t="s">
        <v>2802</v>
      </c>
      <c r="C97" t="s">
        <v>2688</v>
      </c>
      <c r="D97" s="13">
        <v>31987.62</v>
      </c>
    </row>
    <row r="98" spans="1:5" x14ac:dyDescent="0.3">
      <c r="A98" t="s">
        <v>2689</v>
      </c>
      <c r="B98" t="s">
        <v>2804</v>
      </c>
      <c r="C98" t="s">
        <v>2324</v>
      </c>
      <c r="D98" s="13">
        <v>145623.78</v>
      </c>
      <c r="E98" s="8"/>
    </row>
    <row r="99" spans="1:5" x14ac:dyDescent="0.3">
      <c r="A99" t="s">
        <v>2716</v>
      </c>
      <c r="B99" t="s">
        <v>2805</v>
      </c>
      <c r="C99" t="s">
        <v>2700</v>
      </c>
      <c r="D99" s="13">
        <v>96254.13</v>
      </c>
      <c r="E99" s="8">
        <v>46106</v>
      </c>
    </row>
    <row r="100" spans="1:5" x14ac:dyDescent="0.3">
      <c r="A100" t="s">
        <v>2698</v>
      </c>
      <c r="B100" t="s">
        <v>2806</v>
      </c>
      <c r="C100" t="s">
        <v>142</v>
      </c>
      <c r="D100" s="13">
        <v>51876.49</v>
      </c>
    </row>
    <row r="101" spans="1:5" x14ac:dyDescent="0.3">
      <c r="A101" t="s">
        <v>2803</v>
      </c>
      <c r="B101" t="s">
        <v>2807</v>
      </c>
      <c r="C101" t="s">
        <v>2333</v>
      </c>
      <c r="D101" s="13">
        <v>187432.06</v>
      </c>
      <c r="E101" s="8">
        <v>46092</v>
      </c>
    </row>
    <row r="102" spans="1:5" x14ac:dyDescent="0.3">
      <c r="A102" t="s">
        <v>2696</v>
      </c>
      <c r="B102" t="s">
        <v>2808</v>
      </c>
      <c r="C102" t="s">
        <v>2700</v>
      </c>
      <c r="D102" s="13">
        <v>134567.82</v>
      </c>
      <c r="E102" s="8">
        <v>46109</v>
      </c>
    </row>
    <row r="103" spans="1:5" x14ac:dyDescent="0.3">
      <c r="A103" t="s">
        <v>2711</v>
      </c>
      <c r="B103" t="s">
        <v>2809</v>
      </c>
      <c r="C103" t="s">
        <v>2324</v>
      </c>
      <c r="D103" s="13">
        <v>78943.259999999995</v>
      </c>
    </row>
    <row r="104" spans="1:5" x14ac:dyDescent="0.3">
      <c r="A104" t="s">
        <v>2694</v>
      </c>
      <c r="B104" t="s">
        <v>2810</v>
      </c>
      <c r="C104" t="s">
        <v>142</v>
      </c>
      <c r="D104" s="13">
        <v>165289.47</v>
      </c>
    </row>
    <row r="105" spans="1:5" x14ac:dyDescent="0.3">
      <c r="A105" t="s">
        <v>2731</v>
      </c>
      <c r="B105" t="s">
        <v>2811</v>
      </c>
      <c r="C105" t="s">
        <v>2688</v>
      </c>
      <c r="D105" s="13">
        <v>42187.93</v>
      </c>
      <c r="E105" s="8"/>
    </row>
    <row r="106" spans="1:5" x14ac:dyDescent="0.3">
      <c r="A106" t="s">
        <v>2749</v>
      </c>
      <c r="B106" t="s">
        <v>2812</v>
      </c>
      <c r="C106" t="s">
        <v>2333</v>
      </c>
      <c r="D106" s="13">
        <v>91265.38</v>
      </c>
      <c r="E106" s="8">
        <v>46103</v>
      </c>
    </row>
    <row r="107" spans="1:5" x14ac:dyDescent="0.3">
      <c r="A107" t="s">
        <v>2692</v>
      </c>
      <c r="B107" t="s">
        <v>2813</v>
      </c>
      <c r="C107" t="s">
        <v>2700</v>
      </c>
      <c r="D107" s="13">
        <v>157834.62</v>
      </c>
      <c r="E107" s="8">
        <v>46114</v>
      </c>
    </row>
    <row r="108" spans="1:5" x14ac:dyDescent="0.3">
      <c r="A108" t="s">
        <v>2702</v>
      </c>
      <c r="B108" t="s">
        <v>2814</v>
      </c>
      <c r="C108" t="s">
        <v>142</v>
      </c>
      <c r="D108" s="13">
        <v>83496.17</v>
      </c>
    </row>
    <row r="109" spans="1:5" x14ac:dyDescent="0.3">
      <c r="A109" t="s">
        <v>2723</v>
      </c>
      <c r="B109" t="s">
        <v>2815</v>
      </c>
      <c r="C109" t="s">
        <v>2324</v>
      </c>
      <c r="D109" s="13">
        <v>126578.94</v>
      </c>
    </row>
    <row r="110" spans="1:5" x14ac:dyDescent="0.3">
      <c r="A110" t="s">
        <v>2686</v>
      </c>
      <c r="B110" t="s">
        <v>2816</v>
      </c>
      <c r="C110" t="s">
        <v>2700</v>
      </c>
      <c r="D110" s="13">
        <v>69347.28</v>
      </c>
      <c r="E110" s="8">
        <v>46120</v>
      </c>
    </row>
    <row r="111" spans="1:5" x14ac:dyDescent="0.3">
      <c r="A111" t="s">
        <v>2726</v>
      </c>
      <c r="B111" t="s">
        <v>2817</v>
      </c>
      <c r="C111" t="s">
        <v>2688</v>
      </c>
      <c r="D111" s="13">
        <v>54123.76</v>
      </c>
    </row>
    <row r="112" spans="1:5" x14ac:dyDescent="0.3">
      <c r="A112" t="s">
        <v>2752</v>
      </c>
      <c r="B112" t="s">
        <v>2818</v>
      </c>
      <c r="C112" t="s">
        <v>2333</v>
      </c>
      <c r="D112" s="13">
        <v>143298.51</v>
      </c>
      <c r="E112" s="8">
        <v>46117</v>
      </c>
    </row>
    <row r="113" spans="1:5" x14ac:dyDescent="0.3">
      <c r="A113" t="s">
        <v>2729</v>
      </c>
      <c r="B113" t="s">
        <v>2819</v>
      </c>
      <c r="C113" t="s">
        <v>2324</v>
      </c>
      <c r="D113" s="13">
        <v>97651.83</v>
      </c>
    </row>
    <row r="114" spans="1:5" x14ac:dyDescent="0.3">
      <c r="A114" t="s">
        <v>2771</v>
      </c>
      <c r="B114" t="s">
        <v>2820</v>
      </c>
      <c r="C114" t="s">
        <v>142</v>
      </c>
      <c r="D114" s="13">
        <v>178432.69</v>
      </c>
      <c r="E114" s="8"/>
    </row>
    <row r="115" spans="1:5" x14ac:dyDescent="0.3">
      <c r="A115" t="s">
        <v>2704</v>
      </c>
      <c r="B115" t="s">
        <v>2821</v>
      </c>
      <c r="C115" t="s">
        <v>2700</v>
      </c>
      <c r="D115" s="13">
        <v>61987.42</v>
      </c>
      <c r="E115" s="8">
        <v>46124</v>
      </c>
    </row>
    <row r="116" spans="1:5" x14ac:dyDescent="0.3">
      <c r="A116" t="s">
        <v>2733</v>
      </c>
      <c r="B116" t="s">
        <v>2822</v>
      </c>
      <c r="C116" t="s">
        <v>2688</v>
      </c>
      <c r="D116" s="13">
        <v>85649.13</v>
      </c>
    </row>
    <row r="117" spans="1:5" x14ac:dyDescent="0.3">
      <c r="A117" t="s">
        <v>2706</v>
      </c>
      <c r="B117" t="s">
        <v>2823</v>
      </c>
      <c r="C117" t="s">
        <v>2324</v>
      </c>
      <c r="D117" s="13">
        <v>152876.34</v>
      </c>
      <c r="E117" s="8"/>
    </row>
    <row r="118" spans="1:5" x14ac:dyDescent="0.3">
      <c r="A118" t="s">
        <v>2689</v>
      </c>
      <c r="B118" t="s">
        <v>2824</v>
      </c>
      <c r="C118" t="s">
        <v>2333</v>
      </c>
      <c r="D118" s="13">
        <v>74329.87</v>
      </c>
      <c r="E118" s="8">
        <v>46121</v>
      </c>
    </row>
    <row r="119" spans="1:5" x14ac:dyDescent="0.3">
      <c r="A119" t="s">
        <v>2716</v>
      </c>
      <c r="B119" t="s">
        <v>2825</v>
      </c>
      <c r="C119" t="s">
        <v>2700</v>
      </c>
      <c r="D119" s="13">
        <v>139485.60999999999</v>
      </c>
      <c r="E119" s="8">
        <v>46127</v>
      </c>
    </row>
    <row r="120" spans="1:5" x14ac:dyDescent="0.3">
      <c r="A120" t="s">
        <v>2698</v>
      </c>
      <c r="B120" t="s">
        <v>2826</v>
      </c>
      <c r="C120" t="s">
        <v>142</v>
      </c>
      <c r="D120" s="13">
        <v>48762.95</v>
      </c>
    </row>
    <row r="121" spans="1:5" x14ac:dyDescent="0.3">
      <c r="A121" t="s">
        <v>2803</v>
      </c>
      <c r="B121" t="s">
        <v>2827</v>
      </c>
      <c r="C121" t="s">
        <v>2324</v>
      </c>
      <c r="D121" s="13">
        <v>167593.28</v>
      </c>
      <c r="E121" s="8"/>
    </row>
    <row r="122" spans="1:5" x14ac:dyDescent="0.3">
      <c r="A122" t="s">
        <v>2696</v>
      </c>
      <c r="B122" t="s">
        <v>2828</v>
      </c>
      <c r="C122" t="s">
        <v>2688</v>
      </c>
      <c r="D122" s="13">
        <v>93147.62</v>
      </c>
    </row>
    <row r="123" spans="1:5" x14ac:dyDescent="0.3">
      <c r="A123" t="s">
        <v>2711</v>
      </c>
      <c r="B123" t="s">
        <v>2829</v>
      </c>
      <c r="C123" t="s">
        <v>2700</v>
      </c>
      <c r="D123" s="13">
        <v>112658.49</v>
      </c>
      <c r="E123" s="8">
        <v>46130</v>
      </c>
    </row>
    <row r="124" spans="1:5" x14ac:dyDescent="0.3">
      <c r="A124" t="s">
        <v>2694</v>
      </c>
      <c r="B124" t="s">
        <v>2830</v>
      </c>
      <c r="C124" t="s">
        <v>2333</v>
      </c>
      <c r="D124" s="13">
        <v>186249.73</v>
      </c>
      <c r="E124" s="8">
        <v>46123</v>
      </c>
    </row>
    <row r="125" spans="1:5" x14ac:dyDescent="0.3">
      <c r="A125" t="s">
        <v>2731</v>
      </c>
      <c r="B125" t="s">
        <v>2831</v>
      </c>
      <c r="C125" t="s">
        <v>142</v>
      </c>
      <c r="D125" s="13">
        <v>57834.16</v>
      </c>
    </row>
    <row r="126" spans="1:5" x14ac:dyDescent="0.3">
      <c r="A126" t="s">
        <v>2749</v>
      </c>
      <c r="B126" t="s">
        <v>2832</v>
      </c>
      <c r="C126" t="s">
        <v>2324</v>
      </c>
      <c r="D126" s="13">
        <v>143987.51999999999</v>
      </c>
    </row>
    <row r="127" spans="1:5" x14ac:dyDescent="0.3">
      <c r="A127" t="s">
        <v>2692</v>
      </c>
      <c r="B127" t="s">
        <v>2833</v>
      </c>
      <c r="C127" t="s">
        <v>2700</v>
      </c>
      <c r="D127" s="13">
        <v>79216.38</v>
      </c>
      <c r="E127" s="8">
        <v>46134</v>
      </c>
    </row>
    <row r="128" spans="1:5" x14ac:dyDescent="0.3">
      <c r="A128" t="s">
        <v>2702</v>
      </c>
      <c r="B128" t="s">
        <v>2834</v>
      </c>
      <c r="C128" t="s">
        <v>2688</v>
      </c>
      <c r="D128" s="13">
        <v>128573.94</v>
      </c>
    </row>
    <row r="129" spans="1:5" x14ac:dyDescent="0.3">
      <c r="A129" t="s">
        <v>2723</v>
      </c>
      <c r="B129" t="s">
        <v>2835</v>
      </c>
      <c r="C129" t="s">
        <v>142</v>
      </c>
      <c r="D129" s="13">
        <v>64198.27</v>
      </c>
    </row>
    <row r="130" spans="1:5" x14ac:dyDescent="0.3">
      <c r="A130" t="s">
        <v>2686</v>
      </c>
      <c r="B130" t="s">
        <v>2836</v>
      </c>
      <c r="C130" t="s">
        <v>2333</v>
      </c>
      <c r="D130" s="13">
        <v>175842.63</v>
      </c>
      <c r="E130" s="8">
        <v>46131</v>
      </c>
    </row>
    <row r="131" spans="1:5" x14ac:dyDescent="0.3">
      <c r="A131" t="s">
        <v>2726</v>
      </c>
      <c r="B131" t="s">
        <v>2837</v>
      </c>
      <c r="C131" t="s">
        <v>2700</v>
      </c>
      <c r="D131" s="13">
        <v>91457.82</v>
      </c>
      <c r="E131" s="8">
        <v>46137</v>
      </c>
    </row>
    <row r="132" spans="1:5" x14ac:dyDescent="0.3">
      <c r="A132" t="s">
        <v>2752</v>
      </c>
      <c r="B132" t="s">
        <v>2838</v>
      </c>
      <c r="C132" t="s">
        <v>2324</v>
      </c>
      <c r="D132" s="13">
        <v>46823.19</v>
      </c>
    </row>
    <row r="133" spans="1:5" x14ac:dyDescent="0.3">
      <c r="A133" t="s">
        <v>2729</v>
      </c>
      <c r="B133" t="s">
        <v>2839</v>
      </c>
      <c r="C133" t="s">
        <v>2688</v>
      </c>
      <c r="D133" s="13">
        <v>159637.48000000001</v>
      </c>
    </row>
    <row r="134" spans="1:5" x14ac:dyDescent="0.3">
      <c r="A134" t="s">
        <v>2771</v>
      </c>
      <c r="B134" t="s">
        <v>2840</v>
      </c>
      <c r="C134" t="s">
        <v>142</v>
      </c>
      <c r="D134" s="13">
        <v>83274.559999999998</v>
      </c>
      <c r="E134" s="8"/>
    </row>
    <row r="135" spans="1:5" x14ac:dyDescent="0.3">
      <c r="A135" t="s">
        <v>2704</v>
      </c>
      <c r="B135" t="s">
        <v>2841</v>
      </c>
      <c r="C135" t="s">
        <v>2700</v>
      </c>
      <c r="D135" s="13">
        <v>147986.31</v>
      </c>
      <c r="E135" s="8">
        <v>46140</v>
      </c>
    </row>
    <row r="136" spans="1:5" x14ac:dyDescent="0.3">
      <c r="A136" t="s">
        <v>2733</v>
      </c>
      <c r="B136" t="s">
        <v>2842</v>
      </c>
      <c r="C136" t="s">
        <v>2333</v>
      </c>
      <c r="D136" s="13">
        <v>68429.75</v>
      </c>
      <c r="E136" s="8">
        <v>46135</v>
      </c>
    </row>
    <row r="137" spans="1:5" x14ac:dyDescent="0.3">
      <c r="A137" t="s">
        <v>2706</v>
      </c>
      <c r="B137" t="s">
        <v>2843</v>
      </c>
      <c r="C137" t="s">
        <v>2324</v>
      </c>
      <c r="D137" s="13">
        <v>134862.97</v>
      </c>
      <c r="E137" s="8"/>
    </row>
    <row r="138" spans="1:5" x14ac:dyDescent="0.3">
      <c r="A138" t="s">
        <v>2689</v>
      </c>
      <c r="B138" t="s">
        <v>2844</v>
      </c>
      <c r="C138" t="s">
        <v>142</v>
      </c>
      <c r="D138" s="13">
        <v>89576.43</v>
      </c>
    </row>
    <row r="139" spans="1:5" x14ac:dyDescent="0.3">
      <c r="A139" t="s">
        <v>2716</v>
      </c>
      <c r="B139" t="s">
        <v>2845</v>
      </c>
      <c r="C139" t="s">
        <v>2700</v>
      </c>
      <c r="D139" s="13">
        <v>162349.18</v>
      </c>
      <c r="E139" s="8">
        <v>46142</v>
      </c>
    </row>
    <row r="140" spans="1:5" x14ac:dyDescent="0.3">
      <c r="A140" t="s">
        <v>2698</v>
      </c>
      <c r="B140" t="s">
        <v>2846</v>
      </c>
      <c r="C140" t="s">
        <v>2688</v>
      </c>
      <c r="D140" s="13">
        <v>51287.64</v>
      </c>
      <c r="E140" s="8"/>
    </row>
    <row r="141" spans="1:5" x14ac:dyDescent="0.3">
      <c r="A141" t="s">
        <v>2803</v>
      </c>
      <c r="B141" t="s">
        <v>2847</v>
      </c>
      <c r="C141" t="s">
        <v>2324</v>
      </c>
      <c r="D141" s="13">
        <v>178934.52</v>
      </c>
      <c r="E141" s="8"/>
    </row>
    <row r="142" spans="1:5" x14ac:dyDescent="0.3">
      <c r="A142" t="s">
        <v>2696</v>
      </c>
      <c r="B142" t="s">
        <v>2848</v>
      </c>
      <c r="C142" t="s">
        <v>2333</v>
      </c>
      <c r="D142" s="13">
        <v>96758.29</v>
      </c>
      <c r="E142" s="8">
        <v>46138</v>
      </c>
    </row>
    <row r="143" spans="1:5" x14ac:dyDescent="0.3">
      <c r="A143" t="s">
        <v>2711</v>
      </c>
      <c r="B143" t="s">
        <v>2849</v>
      </c>
      <c r="C143" t="s">
        <v>142</v>
      </c>
      <c r="D143" s="13">
        <v>124673.85</v>
      </c>
      <c r="E143" s="8"/>
    </row>
    <row r="144" spans="1:5" x14ac:dyDescent="0.3">
      <c r="A144" t="s">
        <v>2694</v>
      </c>
      <c r="B144" t="s">
        <v>2850</v>
      </c>
      <c r="C144" t="s">
        <v>2700</v>
      </c>
      <c r="D144" s="13">
        <v>87219.46</v>
      </c>
      <c r="E144" s="8">
        <v>46141</v>
      </c>
    </row>
    <row r="145" spans="1:5" x14ac:dyDescent="0.3">
      <c r="A145" t="s">
        <v>2731</v>
      </c>
      <c r="B145" t="s">
        <v>2851</v>
      </c>
      <c r="C145" t="s">
        <v>2324</v>
      </c>
      <c r="D145" s="13">
        <v>153842.71</v>
      </c>
      <c r="E145" s="8"/>
    </row>
    <row r="146" spans="1:5" x14ac:dyDescent="0.3">
      <c r="A146" t="s">
        <v>2749</v>
      </c>
      <c r="B146" t="s">
        <v>2852</v>
      </c>
      <c r="C146" t="s">
        <v>2688</v>
      </c>
      <c r="D146" s="13">
        <v>62498.13</v>
      </c>
    </row>
    <row r="147" spans="1:5" x14ac:dyDescent="0.3">
      <c r="A147" t="s">
        <v>2692</v>
      </c>
      <c r="B147" t="s">
        <v>2853</v>
      </c>
      <c r="C147" t="s">
        <v>2333</v>
      </c>
      <c r="D147" s="13">
        <v>141587.39000000001</v>
      </c>
      <c r="E147" s="8">
        <v>46139</v>
      </c>
    </row>
    <row r="148" spans="1:5" x14ac:dyDescent="0.3">
      <c r="A148" t="s">
        <v>2702</v>
      </c>
      <c r="B148" t="s">
        <v>2854</v>
      </c>
      <c r="C148" t="s">
        <v>2700</v>
      </c>
      <c r="D148" s="13">
        <v>75963.839999999997</v>
      </c>
      <c r="E148" s="8">
        <v>46142</v>
      </c>
    </row>
    <row r="149" spans="1:5" x14ac:dyDescent="0.3">
      <c r="A149" t="s">
        <v>2723</v>
      </c>
      <c r="B149" t="s">
        <v>2855</v>
      </c>
      <c r="C149" t="s">
        <v>142</v>
      </c>
      <c r="D149" s="13">
        <v>198426.57</v>
      </c>
      <c r="E149" s="8"/>
    </row>
    <row r="150" spans="1:5" x14ac:dyDescent="0.3">
      <c r="A150" t="s">
        <v>2686</v>
      </c>
      <c r="B150" t="s">
        <v>2856</v>
      </c>
      <c r="C150" t="s">
        <v>2324</v>
      </c>
      <c r="D150" s="13">
        <v>49187.32</v>
      </c>
      <c r="E150" s="8"/>
    </row>
    <row r="151" spans="1:5" x14ac:dyDescent="0.3">
      <c r="A151" t="s">
        <v>2726</v>
      </c>
      <c r="B151" t="s">
        <v>2857</v>
      </c>
      <c r="C151" t="s">
        <v>2700</v>
      </c>
      <c r="D151" s="13">
        <v>167834.96</v>
      </c>
      <c r="E151" s="8">
        <v>46142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BD870-CA97-422B-A131-D939BAB691DC}">
  <dimension ref="A1:F45"/>
  <sheetViews>
    <sheetView topLeftCell="A7" workbookViewId="0"/>
  </sheetViews>
  <sheetFormatPr defaultRowHeight="14.4" x14ac:dyDescent="0.3"/>
  <cols>
    <col min="1" max="1" width="15.21875" bestFit="1" customWidth="1"/>
    <col min="2" max="3" width="7.5546875" style="15" bestFit="1" customWidth="1"/>
    <col min="4" max="4" width="8.33203125" style="15" bestFit="1" customWidth="1"/>
    <col min="5" max="5" width="10.21875" style="17" bestFit="1" customWidth="1"/>
    <col min="6" max="6" width="8.109375" bestFit="1" customWidth="1"/>
  </cols>
  <sheetData>
    <row r="1" spans="1:6" x14ac:dyDescent="0.3">
      <c r="A1" s="6" t="s">
        <v>1197</v>
      </c>
      <c r="B1" s="14" t="s">
        <v>2858</v>
      </c>
      <c r="C1" s="14" t="s">
        <v>2859</v>
      </c>
      <c r="D1" s="14" t="s">
        <v>2860</v>
      </c>
      <c r="E1" s="16" t="s">
        <v>2861</v>
      </c>
      <c r="F1" s="6" t="s">
        <v>2862</v>
      </c>
    </row>
    <row r="2" spans="1:6" x14ac:dyDescent="0.3">
      <c r="A2" t="s">
        <v>1251</v>
      </c>
      <c r="B2" s="15">
        <v>542266</v>
      </c>
      <c r="C2" s="15">
        <v>541251</v>
      </c>
      <c r="D2" s="15">
        <f>C2-B2</f>
        <v>-1015</v>
      </c>
      <c r="E2" s="17">
        <f>IF(B2=0,0,D2/B2)</f>
        <v>-1.8717751066819606E-3</v>
      </c>
      <c r="F2" t="s">
        <v>2863</v>
      </c>
    </row>
    <row r="3" spans="1:6" x14ac:dyDescent="0.3">
      <c r="A3" t="s">
        <v>1216</v>
      </c>
      <c r="B3" s="15">
        <v>153569</v>
      </c>
      <c r="C3" s="15">
        <v>138980</v>
      </c>
      <c r="D3" s="15">
        <f>C3-B3</f>
        <v>-14589</v>
      </c>
      <c r="E3" s="17">
        <f>IF(B3=0,0,D3/B3)</f>
        <v>-9.499964185480142E-2</v>
      </c>
      <c r="F3" t="s">
        <v>2863</v>
      </c>
    </row>
    <row r="4" spans="1:6" x14ac:dyDescent="0.3">
      <c r="A4" t="s">
        <v>1234</v>
      </c>
      <c r="B4" s="15">
        <v>303827</v>
      </c>
      <c r="C4" s="15">
        <v>353855</v>
      </c>
      <c r="D4" s="15">
        <f>C4-B4</f>
        <v>50028</v>
      </c>
      <c r="E4" s="17">
        <f>IF(B4=0,0,D4/B4)</f>
        <v>0.16465949372504748</v>
      </c>
      <c r="F4" t="s">
        <v>2863</v>
      </c>
    </row>
    <row r="5" spans="1:6" x14ac:dyDescent="0.3">
      <c r="A5" t="s">
        <v>1208</v>
      </c>
      <c r="B5" s="15">
        <v>542886</v>
      </c>
      <c r="C5" s="15">
        <v>566984</v>
      </c>
      <c r="D5" s="15">
        <f>C5-B5</f>
        <v>24098</v>
      </c>
      <c r="E5" s="17">
        <f>IF(B5=0,0,D5/B5)</f>
        <v>4.4388693022107774E-2</v>
      </c>
      <c r="F5" t="s">
        <v>2863</v>
      </c>
    </row>
    <row r="6" spans="1:6" x14ac:dyDescent="0.3">
      <c r="A6" t="s">
        <v>1288</v>
      </c>
      <c r="B6" s="15">
        <v>512197</v>
      </c>
      <c r="C6" s="15">
        <v>592893</v>
      </c>
      <c r="D6" s="15">
        <f>C6-B6</f>
        <v>80696</v>
      </c>
      <c r="E6" s="17">
        <f>IF(B6=0,0,D6/B6)</f>
        <v>0.15754875565456261</v>
      </c>
      <c r="F6" t="s">
        <v>2863</v>
      </c>
    </row>
    <row r="7" spans="1:6" x14ac:dyDescent="0.3">
      <c r="A7" t="s">
        <v>1212</v>
      </c>
      <c r="B7" s="15">
        <v>101185</v>
      </c>
      <c r="C7" s="15">
        <v>118377</v>
      </c>
      <c r="D7" s="15">
        <f>C7-B7</f>
        <v>17192</v>
      </c>
      <c r="E7" s="17">
        <f>IF(B7=0,0,D7/B7)</f>
        <v>0.1699066067104808</v>
      </c>
      <c r="F7" t="s">
        <v>2863</v>
      </c>
    </row>
    <row r="8" spans="1:6" x14ac:dyDescent="0.3">
      <c r="A8" t="s">
        <v>1238</v>
      </c>
      <c r="B8" s="15">
        <v>198677</v>
      </c>
      <c r="C8" s="15">
        <v>260623</v>
      </c>
      <c r="D8" s="15">
        <f>C8-B8</f>
        <v>61946</v>
      </c>
      <c r="E8" s="17">
        <f>IF(B8=0,0,D8/B8)</f>
        <v>0.31179250743669373</v>
      </c>
      <c r="F8" t="s">
        <v>2863</v>
      </c>
    </row>
    <row r="9" spans="1:6" x14ac:dyDescent="0.3">
      <c r="A9" t="s">
        <v>1227</v>
      </c>
      <c r="B9" s="15">
        <v>490983</v>
      </c>
      <c r="C9" s="15">
        <v>544525</v>
      </c>
      <c r="D9" s="15">
        <f>C9-B9</f>
        <v>53542</v>
      </c>
      <c r="E9" s="17">
        <f>IF(B9=0,0,D9/B9)</f>
        <v>0.10905061886053082</v>
      </c>
      <c r="F9" t="s">
        <v>2863</v>
      </c>
    </row>
    <row r="10" spans="1:6" x14ac:dyDescent="0.3">
      <c r="A10" t="s">
        <v>1201</v>
      </c>
      <c r="B10" s="15">
        <v>127030</v>
      </c>
      <c r="C10" s="15">
        <v>150463</v>
      </c>
      <c r="D10" s="15">
        <f>C10-B10</f>
        <v>23433</v>
      </c>
      <c r="E10" s="17">
        <f>IF(B10=0,0,D10/B10)</f>
        <v>0.18446823584979927</v>
      </c>
      <c r="F10" t="s">
        <v>2863</v>
      </c>
    </row>
    <row r="11" spans="1:6" x14ac:dyDescent="0.3">
      <c r="A11" t="s">
        <v>1220</v>
      </c>
      <c r="B11" s="15">
        <v>369583</v>
      </c>
      <c r="C11" s="15">
        <v>410258</v>
      </c>
      <c r="D11" s="15">
        <f>C11-B11</f>
        <v>40675</v>
      </c>
      <c r="E11" s="17">
        <f>IF(B11=0,0,D11/B11)</f>
        <v>0.11005646904754818</v>
      </c>
      <c r="F11" t="s">
        <v>2863</v>
      </c>
    </row>
    <row r="12" spans="1:6" x14ac:dyDescent="0.3">
      <c r="A12" t="s">
        <v>2864</v>
      </c>
      <c r="B12" s="15">
        <v>548260</v>
      </c>
      <c r="C12" s="15">
        <v>532378</v>
      </c>
      <c r="D12" s="15">
        <f>C12-B12</f>
        <v>-15882</v>
      </c>
      <c r="E12" s="17">
        <f>IF(B12=0,0,D12/B12)</f>
        <v>-2.8968007879473241E-2</v>
      </c>
      <c r="F12" t="s">
        <v>2863</v>
      </c>
    </row>
    <row r="13" spans="1:6" x14ac:dyDescent="0.3">
      <c r="A13" t="s">
        <v>1251</v>
      </c>
      <c r="B13" s="15">
        <v>578360</v>
      </c>
      <c r="C13" s="15">
        <v>688821</v>
      </c>
      <c r="D13" s="15">
        <f>C13-B13</f>
        <v>110461</v>
      </c>
      <c r="E13" s="17">
        <f>IF(B13=0,0,D13/B13)</f>
        <v>0.19099004080503493</v>
      </c>
      <c r="F13" t="s">
        <v>2865</v>
      </c>
    </row>
    <row r="14" spans="1:6" x14ac:dyDescent="0.3">
      <c r="A14" t="s">
        <v>1216</v>
      </c>
      <c r="B14" s="15">
        <v>419735</v>
      </c>
      <c r="C14" s="15">
        <v>447270</v>
      </c>
      <c r="D14" s="15">
        <f>C14-B14</f>
        <v>27535</v>
      </c>
      <c r="E14" s="17">
        <f>IF(B14=0,0,D14/B14)</f>
        <v>6.5600914862949236E-2</v>
      </c>
      <c r="F14" t="s">
        <v>2865</v>
      </c>
    </row>
    <row r="15" spans="1:6" x14ac:dyDescent="0.3">
      <c r="A15" t="s">
        <v>1234</v>
      </c>
      <c r="B15" s="15">
        <v>123020</v>
      </c>
      <c r="C15" s="15">
        <v>117566</v>
      </c>
      <c r="D15" s="15">
        <f>C15-B15</f>
        <v>-5454</v>
      </c>
      <c r="E15" s="17">
        <f>IF(B15=0,0,D15/B15)</f>
        <v>-4.4334254592749145E-2</v>
      </c>
      <c r="F15" t="s">
        <v>2865</v>
      </c>
    </row>
    <row r="16" spans="1:6" x14ac:dyDescent="0.3">
      <c r="A16" t="s">
        <v>1208</v>
      </c>
      <c r="B16" s="15">
        <v>417062</v>
      </c>
      <c r="C16" s="15">
        <v>377241</v>
      </c>
      <c r="D16" s="15">
        <f>C16-B16</f>
        <v>-39821</v>
      </c>
      <c r="E16" s="17">
        <f>IF(B16=0,0,D16/B16)</f>
        <v>-9.5479808757450935E-2</v>
      </c>
      <c r="F16" t="s">
        <v>2865</v>
      </c>
    </row>
    <row r="17" spans="1:6" x14ac:dyDescent="0.3">
      <c r="A17" t="s">
        <v>1288</v>
      </c>
      <c r="B17" s="15">
        <v>296601</v>
      </c>
      <c r="C17" s="15">
        <v>325696</v>
      </c>
      <c r="D17" s="15">
        <f>C17-B17</f>
        <v>29095</v>
      </c>
      <c r="E17" s="17">
        <f>IF(B17=0,0,D17/B17)</f>
        <v>9.8094746814744394E-2</v>
      </c>
      <c r="F17" t="s">
        <v>2865</v>
      </c>
    </row>
    <row r="18" spans="1:6" x14ac:dyDescent="0.3">
      <c r="A18" t="s">
        <v>1212</v>
      </c>
      <c r="B18" s="15">
        <v>247571</v>
      </c>
      <c r="C18" s="15">
        <v>306158</v>
      </c>
      <c r="D18" s="15">
        <f>C18-B18</f>
        <v>58587</v>
      </c>
      <c r="E18" s="17">
        <f>IF(B18=0,0,D18/B18)</f>
        <v>0.23664726482504009</v>
      </c>
      <c r="F18" t="s">
        <v>2865</v>
      </c>
    </row>
    <row r="19" spans="1:6" x14ac:dyDescent="0.3">
      <c r="A19" t="s">
        <v>1238</v>
      </c>
      <c r="B19" s="15">
        <v>444798</v>
      </c>
      <c r="C19" s="15">
        <v>526553</v>
      </c>
      <c r="D19" s="15">
        <f>C19-B19</f>
        <v>81755</v>
      </c>
      <c r="E19" s="17">
        <f>IF(B19=0,0,D19/B19)</f>
        <v>0.18380253508334121</v>
      </c>
      <c r="F19" t="s">
        <v>2865</v>
      </c>
    </row>
    <row r="20" spans="1:6" x14ac:dyDescent="0.3">
      <c r="A20" t="s">
        <v>1227</v>
      </c>
      <c r="B20" s="15">
        <v>328495</v>
      </c>
      <c r="C20" s="15">
        <v>382429</v>
      </c>
      <c r="D20" s="15">
        <f>C20-B20</f>
        <v>53934</v>
      </c>
      <c r="E20" s="17">
        <f>IF(B20=0,0,D20/B20)</f>
        <v>0.16418514741472473</v>
      </c>
      <c r="F20" t="s">
        <v>2865</v>
      </c>
    </row>
    <row r="21" spans="1:6" x14ac:dyDescent="0.3">
      <c r="A21" t="s">
        <v>1201</v>
      </c>
      <c r="B21" s="15">
        <v>217659</v>
      </c>
      <c r="C21" s="15">
        <v>250626</v>
      </c>
      <c r="D21" s="15">
        <f>C21-B21</f>
        <v>32967</v>
      </c>
      <c r="E21" s="17">
        <f>IF(B21=0,0,D21/B21)</f>
        <v>0.15146169007484184</v>
      </c>
      <c r="F21" t="s">
        <v>2865</v>
      </c>
    </row>
    <row r="22" spans="1:6" x14ac:dyDescent="0.3">
      <c r="A22" t="s">
        <v>1220</v>
      </c>
      <c r="B22" s="15">
        <v>332140</v>
      </c>
      <c r="C22" s="15">
        <v>354541</v>
      </c>
      <c r="D22" s="15">
        <f>C22-B22</f>
        <v>22401</v>
      </c>
      <c r="E22" s="17">
        <f>IF(B22=0,0,D22/B22)</f>
        <v>6.7444451135063532E-2</v>
      </c>
      <c r="F22" t="s">
        <v>2865</v>
      </c>
    </row>
    <row r="23" spans="1:6" x14ac:dyDescent="0.3">
      <c r="A23" t="s">
        <v>2864</v>
      </c>
      <c r="B23" s="15">
        <v>252856</v>
      </c>
      <c r="C23" s="15">
        <v>300621</v>
      </c>
      <c r="D23" s="15">
        <f>C23-B23</f>
        <v>47765</v>
      </c>
      <c r="E23" s="17">
        <f>IF(B23=0,0,D23/B23)</f>
        <v>0.18890198373777961</v>
      </c>
      <c r="F23" t="s">
        <v>2865</v>
      </c>
    </row>
    <row r="24" spans="1:6" x14ac:dyDescent="0.3">
      <c r="A24" t="s">
        <v>1251</v>
      </c>
      <c r="B24" s="15">
        <v>578655</v>
      </c>
      <c r="C24" s="15">
        <v>515469</v>
      </c>
      <c r="D24" s="15">
        <f>C24-B24</f>
        <v>-63186</v>
      </c>
      <c r="E24" s="17">
        <f>IF(B24=0,0,D24/B24)</f>
        <v>-0.10919459781735232</v>
      </c>
      <c r="F24" t="s">
        <v>2866</v>
      </c>
    </row>
    <row r="25" spans="1:6" x14ac:dyDescent="0.3">
      <c r="A25" t="s">
        <v>1216</v>
      </c>
      <c r="B25" s="15">
        <v>474794</v>
      </c>
      <c r="C25" s="15">
        <v>431470</v>
      </c>
      <c r="D25" s="15">
        <f>C25-B25</f>
        <v>-43324</v>
      </c>
      <c r="E25" s="17">
        <f>IF(B25=0,0,D25/B25)</f>
        <v>-9.1247993866813815E-2</v>
      </c>
      <c r="F25" t="s">
        <v>2866</v>
      </c>
    </row>
    <row r="26" spans="1:6" x14ac:dyDescent="0.3">
      <c r="A26" t="s">
        <v>1234</v>
      </c>
      <c r="B26" s="15">
        <v>583898</v>
      </c>
      <c r="C26" s="15">
        <v>632594</v>
      </c>
      <c r="D26" s="15">
        <f>C26-B26</f>
        <v>48696</v>
      </c>
      <c r="E26" s="17">
        <f>IF(B26=0,0,D26/B26)</f>
        <v>8.3398127755190121E-2</v>
      </c>
      <c r="F26" t="s">
        <v>2866</v>
      </c>
    </row>
    <row r="27" spans="1:6" x14ac:dyDescent="0.3">
      <c r="A27" t="s">
        <v>1208</v>
      </c>
      <c r="B27" s="15">
        <v>246854</v>
      </c>
      <c r="C27" s="15">
        <v>325410</v>
      </c>
      <c r="D27" s="15">
        <f>C27-B27</f>
        <v>78556</v>
      </c>
      <c r="E27" s="17">
        <f>IF(B27=0,0,D27/B27)</f>
        <v>0.31822858855841912</v>
      </c>
      <c r="F27" t="s">
        <v>2866</v>
      </c>
    </row>
    <row r="28" spans="1:6" x14ac:dyDescent="0.3">
      <c r="A28" t="s">
        <v>1288</v>
      </c>
      <c r="B28" s="15">
        <v>510822</v>
      </c>
      <c r="C28" s="15">
        <v>543318</v>
      </c>
      <c r="D28" s="15">
        <f>C28-B28</f>
        <v>32496</v>
      </c>
      <c r="E28" s="17">
        <f>IF(B28=0,0,D28/B28)</f>
        <v>6.3615114462572092E-2</v>
      </c>
      <c r="F28" t="s">
        <v>2866</v>
      </c>
    </row>
    <row r="29" spans="1:6" x14ac:dyDescent="0.3">
      <c r="A29" t="s">
        <v>1212</v>
      </c>
      <c r="B29" s="15">
        <v>518154</v>
      </c>
      <c r="C29" s="15">
        <v>509635</v>
      </c>
      <c r="D29" s="15">
        <f>C29-B29</f>
        <v>-8519</v>
      </c>
      <c r="E29" s="17">
        <f>IF(B29=0,0,D29/B29)</f>
        <v>-1.6441058063818865E-2</v>
      </c>
      <c r="F29" t="s">
        <v>2866</v>
      </c>
    </row>
    <row r="30" spans="1:6" x14ac:dyDescent="0.3">
      <c r="A30" t="s">
        <v>1238</v>
      </c>
      <c r="B30" s="15">
        <v>418948</v>
      </c>
      <c r="C30" s="15">
        <v>447901</v>
      </c>
      <c r="D30" s="15">
        <f>C30-B30</f>
        <v>28953</v>
      </c>
      <c r="E30" s="17">
        <f>IF(B30=0,0,D30/B30)</f>
        <v>6.9108815413846114E-2</v>
      </c>
      <c r="F30" t="s">
        <v>2866</v>
      </c>
    </row>
    <row r="31" spans="1:6" x14ac:dyDescent="0.3">
      <c r="A31" t="s">
        <v>1227</v>
      </c>
      <c r="B31" s="15">
        <v>268461</v>
      </c>
      <c r="C31" s="15">
        <v>305174</v>
      </c>
      <c r="D31" s="15">
        <f>C31-B31</f>
        <v>36713</v>
      </c>
      <c r="E31" s="17">
        <f>IF(B31=0,0,D31/B31)</f>
        <v>0.13675356941976674</v>
      </c>
      <c r="F31" t="s">
        <v>2866</v>
      </c>
    </row>
    <row r="32" spans="1:6" x14ac:dyDescent="0.3">
      <c r="A32" t="s">
        <v>1201</v>
      </c>
      <c r="B32" s="15">
        <v>253336</v>
      </c>
      <c r="C32" s="15">
        <v>228711</v>
      </c>
      <c r="D32" s="15">
        <f>C32-B32</f>
        <v>-24625</v>
      </c>
      <c r="E32" s="17">
        <f>IF(B32=0,0,D32/B32)</f>
        <v>-9.7202924179745478E-2</v>
      </c>
      <c r="F32" t="s">
        <v>2866</v>
      </c>
    </row>
    <row r="33" spans="1:6" x14ac:dyDescent="0.3">
      <c r="A33" t="s">
        <v>1220</v>
      </c>
      <c r="B33" s="15">
        <v>471097</v>
      </c>
      <c r="C33" s="15">
        <v>505908</v>
      </c>
      <c r="D33" s="15">
        <f>C33-B33</f>
        <v>34811</v>
      </c>
      <c r="E33" s="17">
        <f>IF(B33=0,0,D33/B33)</f>
        <v>7.3893486903970948E-2</v>
      </c>
      <c r="F33" t="s">
        <v>2866</v>
      </c>
    </row>
    <row r="34" spans="1:6" x14ac:dyDescent="0.3">
      <c r="A34" t="s">
        <v>2864</v>
      </c>
      <c r="B34" s="15">
        <v>527069</v>
      </c>
      <c r="C34" s="15">
        <v>605934</v>
      </c>
      <c r="D34" s="15">
        <f>C34-B34</f>
        <v>78865</v>
      </c>
      <c r="E34" s="17">
        <f>IF(B34=0,0,D34/B34)</f>
        <v>0.14962936541515437</v>
      </c>
      <c r="F34" t="s">
        <v>2866</v>
      </c>
    </row>
    <row r="35" spans="1:6" x14ac:dyDescent="0.3">
      <c r="A35" t="s">
        <v>1251</v>
      </c>
      <c r="B35" s="15">
        <v>286495</v>
      </c>
      <c r="C35" s="15">
        <v>286447</v>
      </c>
      <c r="D35" s="15">
        <f>C35-B35</f>
        <v>-48</v>
      </c>
      <c r="E35" s="17">
        <f>IF(B35=0,0,D35/B35)</f>
        <v>-1.6754219096319308E-4</v>
      </c>
      <c r="F35" t="s">
        <v>2867</v>
      </c>
    </row>
    <row r="36" spans="1:6" x14ac:dyDescent="0.3">
      <c r="A36" t="s">
        <v>1216</v>
      </c>
      <c r="B36" s="15">
        <v>418142</v>
      </c>
      <c r="C36" s="15">
        <v>411358</v>
      </c>
      <c r="D36" s="15">
        <f>C36-B36</f>
        <v>-6784</v>
      </c>
      <c r="E36" s="17">
        <f>IF(B36=0,0,D36/B36)</f>
        <v>-1.6224153517226204E-2</v>
      </c>
      <c r="F36" t="s">
        <v>2867</v>
      </c>
    </row>
    <row r="37" spans="1:6" x14ac:dyDescent="0.3">
      <c r="A37" t="s">
        <v>1234</v>
      </c>
      <c r="B37" s="15">
        <v>212994</v>
      </c>
      <c r="C37" s="15">
        <v>272424</v>
      </c>
      <c r="D37" s="15">
        <f>C37-B37</f>
        <v>59430</v>
      </c>
      <c r="E37" s="17">
        <f>IF(B37=0,0,D37/B37)</f>
        <v>0.27902194428012056</v>
      </c>
      <c r="F37" t="s">
        <v>2867</v>
      </c>
    </row>
    <row r="38" spans="1:6" x14ac:dyDescent="0.3">
      <c r="A38" t="s">
        <v>1208</v>
      </c>
      <c r="B38" s="15">
        <v>517226</v>
      </c>
      <c r="C38" s="15">
        <v>538689</v>
      </c>
      <c r="D38" s="15">
        <f>C38-B38</f>
        <v>21463</v>
      </c>
      <c r="E38" s="17">
        <f>IF(B38=0,0,D38/B38)</f>
        <v>4.1496367158650183E-2</v>
      </c>
      <c r="F38" t="s">
        <v>2867</v>
      </c>
    </row>
    <row r="39" spans="1:6" x14ac:dyDescent="0.3">
      <c r="A39" t="s">
        <v>1288</v>
      </c>
      <c r="B39" s="15">
        <v>489021</v>
      </c>
      <c r="C39" s="15">
        <v>432916</v>
      </c>
      <c r="D39" s="15">
        <f>C39-B39</f>
        <v>-56105</v>
      </c>
      <c r="E39" s="17">
        <f>IF(B39=0,0,D39/B39)</f>
        <v>-0.11472922430734059</v>
      </c>
      <c r="F39" t="s">
        <v>2867</v>
      </c>
    </row>
    <row r="40" spans="1:6" x14ac:dyDescent="0.3">
      <c r="A40" t="s">
        <v>1212</v>
      </c>
      <c r="B40" s="15">
        <v>357637</v>
      </c>
      <c r="C40" s="15">
        <v>365899</v>
      </c>
      <c r="D40" s="15">
        <f>C40-B40</f>
        <v>8262</v>
      </c>
      <c r="E40" s="17">
        <f>IF(B40=0,0,D40/B40)</f>
        <v>2.3101636575633952E-2</v>
      </c>
      <c r="F40" t="s">
        <v>2867</v>
      </c>
    </row>
    <row r="41" spans="1:6" x14ac:dyDescent="0.3">
      <c r="A41" t="s">
        <v>1238</v>
      </c>
      <c r="B41" s="15">
        <v>488932</v>
      </c>
      <c r="C41" s="15">
        <v>424576</v>
      </c>
      <c r="D41" s="15">
        <f>C41-B41</f>
        <v>-64356</v>
      </c>
      <c r="E41" s="17">
        <f>IF(B41=0,0,D41/B41)</f>
        <v>-0.13162566573674866</v>
      </c>
      <c r="F41" t="s">
        <v>2867</v>
      </c>
    </row>
    <row r="42" spans="1:6" x14ac:dyDescent="0.3">
      <c r="A42" t="s">
        <v>1227</v>
      </c>
      <c r="B42" s="15">
        <v>411413</v>
      </c>
      <c r="C42" s="15">
        <v>372050</v>
      </c>
      <c r="D42" s="15">
        <f>C42-B42</f>
        <v>-39363</v>
      </c>
      <c r="E42" s="17">
        <f>IF(B42=0,0,D42/B42)</f>
        <v>-9.5677579463944992E-2</v>
      </c>
      <c r="F42" t="s">
        <v>2867</v>
      </c>
    </row>
    <row r="43" spans="1:6" x14ac:dyDescent="0.3">
      <c r="A43" t="s">
        <v>1201</v>
      </c>
      <c r="B43" s="15">
        <v>433440</v>
      </c>
      <c r="C43" s="15">
        <v>429224</v>
      </c>
      <c r="D43" s="15">
        <f>C43-B43</f>
        <v>-4216</v>
      </c>
      <c r="E43" s="17">
        <f>IF(B43=0,0,D43/B43)</f>
        <v>-9.726836471022517E-3</v>
      </c>
      <c r="F43" t="s">
        <v>2867</v>
      </c>
    </row>
    <row r="44" spans="1:6" x14ac:dyDescent="0.3">
      <c r="A44" t="s">
        <v>1220</v>
      </c>
      <c r="B44" s="15">
        <v>396881</v>
      </c>
      <c r="C44" s="15">
        <v>433542</v>
      </c>
      <c r="D44" s="15">
        <f>C44-B44</f>
        <v>36661</v>
      </c>
      <c r="E44" s="17">
        <f>IF(B44=0,0,D44/B44)</f>
        <v>9.237277672652508E-2</v>
      </c>
      <c r="F44" t="s">
        <v>2867</v>
      </c>
    </row>
    <row r="45" spans="1:6" x14ac:dyDescent="0.3">
      <c r="A45" t="s">
        <v>2864</v>
      </c>
      <c r="B45" s="15">
        <v>322193</v>
      </c>
      <c r="C45" s="15">
        <v>281518</v>
      </c>
      <c r="D45" s="15">
        <f>C45-B45</f>
        <v>-40675</v>
      </c>
      <c r="E45" s="17">
        <f>IF(B45=0,0,D45/B45)</f>
        <v>-0.12624420766435024</v>
      </c>
      <c r="F45" t="s">
        <v>2867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3C38E-0576-4629-86C8-89D08E5E6320}">
  <dimension ref="A1:E203"/>
  <sheetViews>
    <sheetView workbookViewId="0"/>
  </sheetViews>
  <sheetFormatPr defaultRowHeight="14.4" x14ac:dyDescent="0.3"/>
  <cols>
    <col min="1" max="1" width="16.6640625" bestFit="1" customWidth="1"/>
    <col min="2" max="2" width="14.33203125" bestFit="1" customWidth="1"/>
    <col min="3" max="3" width="15.21875" bestFit="1" customWidth="1"/>
    <col min="4" max="4" width="12.77734375" style="13" bestFit="1" customWidth="1"/>
    <col min="5" max="5" width="14.21875" bestFit="1" customWidth="1"/>
  </cols>
  <sheetData>
    <row r="1" spans="1:5" x14ac:dyDescent="0.3">
      <c r="A1" s="6" t="s">
        <v>2868</v>
      </c>
      <c r="B1" s="6" t="s">
        <v>2869</v>
      </c>
      <c r="C1" s="6" t="s">
        <v>1197</v>
      </c>
      <c r="D1" s="18" t="s">
        <v>2870</v>
      </c>
      <c r="E1" s="6" t="s">
        <v>2871</v>
      </c>
    </row>
    <row r="2" spans="1:5" x14ac:dyDescent="0.3">
      <c r="A2" t="s">
        <v>2872</v>
      </c>
      <c r="B2" t="s">
        <v>2873</v>
      </c>
      <c r="C2" t="s">
        <v>1212</v>
      </c>
      <c r="D2" s="13">
        <v>1892</v>
      </c>
      <c r="E2" t="s">
        <v>2874</v>
      </c>
    </row>
    <row r="3" spans="1:5" x14ac:dyDescent="0.3">
      <c r="A3" t="s">
        <v>2875</v>
      </c>
      <c r="B3" t="s">
        <v>2873</v>
      </c>
      <c r="C3" t="s">
        <v>1216</v>
      </c>
      <c r="D3" s="13">
        <v>1325.76</v>
      </c>
      <c r="E3" t="s">
        <v>2876</v>
      </c>
    </row>
    <row r="4" spans="1:5" x14ac:dyDescent="0.3">
      <c r="A4" t="s">
        <v>2877</v>
      </c>
      <c r="B4" t="s">
        <v>2873</v>
      </c>
      <c r="C4" t="s">
        <v>1212</v>
      </c>
      <c r="D4" s="13">
        <v>756.31</v>
      </c>
      <c r="E4" t="s">
        <v>142</v>
      </c>
    </row>
    <row r="5" spans="1:5" x14ac:dyDescent="0.3">
      <c r="A5" t="s">
        <v>2878</v>
      </c>
      <c r="B5" t="s">
        <v>2879</v>
      </c>
      <c r="C5" t="s">
        <v>1220</v>
      </c>
      <c r="D5" s="13">
        <v>1701.85</v>
      </c>
      <c r="E5" t="s">
        <v>2874</v>
      </c>
    </row>
    <row r="6" spans="1:5" x14ac:dyDescent="0.3">
      <c r="A6" t="s">
        <v>2880</v>
      </c>
      <c r="B6" t="s">
        <v>2881</v>
      </c>
      <c r="C6" t="s">
        <v>1220</v>
      </c>
      <c r="D6" s="13">
        <v>521.84</v>
      </c>
      <c r="E6" t="s">
        <v>2874</v>
      </c>
    </row>
    <row r="7" spans="1:5" x14ac:dyDescent="0.3">
      <c r="A7" t="s">
        <v>2882</v>
      </c>
      <c r="B7" t="s">
        <v>2883</v>
      </c>
      <c r="C7" t="s">
        <v>1234</v>
      </c>
      <c r="D7" s="13">
        <v>332.12</v>
      </c>
      <c r="E7" t="s">
        <v>142</v>
      </c>
    </row>
    <row r="8" spans="1:5" x14ac:dyDescent="0.3">
      <c r="A8" t="s">
        <v>2884</v>
      </c>
      <c r="B8" t="s">
        <v>2873</v>
      </c>
      <c r="C8" t="s">
        <v>1251</v>
      </c>
      <c r="D8" s="13">
        <v>1152.68</v>
      </c>
      <c r="E8" t="s">
        <v>142</v>
      </c>
    </row>
    <row r="9" spans="1:5" x14ac:dyDescent="0.3">
      <c r="A9" t="s">
        <v>2885</v>
      </c>
      <c r="B9" t="s">
        <v>2886</v>
      </c>
      <c r="C9" t="s">
        <v>1220</v>
      </c>
      <c r="D9" s="13">
        <v>1747.68</v>
      </c>
      <c r="E9" t="s">
        <v>2876</v>
      </c>
    </row>
    <row r="10" spans="1:5" x14ac:dyDescent="0.3">
      <c r="A10" t="s">
        <v>2887</v>
      </c>
      <c r="B10" t="s">
        <v>2873</v>
      </c>
      <c r="C10" t="s">
        <v>1234</v>
      </c>
      <c r="D10" s="13">
        <v>1554.62</v>
      </c>
      <c r="E10" t="s">
        <v>2876</v>
      </c>
    </row>
    <row r="11" spans="1:5" x14ac:dyDescent="0.3">
      <c r="A11" t="s">
        <v>2888</v>
      </c>
      <c r="B11" t="s">
        <v>2881</v>
      </c>
      <c r="C11" t="s">
        <v>1238</v>
      </c>
      <c r="D11" s="13">
        <v>1915.69</v>
      </c>
      <c r="E11" t="s">
        <v>2876</v>
      </c>
    </row>
    <row r="12" spans="1:5" x14ac:dyDescent="0.3">
      <c r="A12" t="s">
        <v>2889</v>
      </c>
      <c r="B12" t="s">
        <v>2881</v>
      </c>
      <c r="C12" t="s">
        <v>1234</v>
      </c>
      <c r="D12" s="13">
        <v>987.06</v>
      </c>
      <c r="E12" t="s">
        <v>2876</v>
      </c>
    </row>
    <row r="13" spans="1:5" x14ac:dyDescent="0.3">
      <c r="A13" t="s">
        <v>2880</v>
      </c>
      <c r="B13" t="s">
        <v>2873</v>
      </c>
      <c r="C13" t="s">
        <v>1216</v>
      </c>
      <c r="D13" s="13">
        <v>1004.22</v>
      </c>
      <c r="E13" t="s">
        <v>142</v>
      </c>
    </row>
    <row r="14" spans="1:5" x14ac:dyDescent="0.3">
      <c r="A14" t="s">
        <v>2878</v>
      </c>
      <c r="B14" t="s">
        <v>2890</v>
      </c>
      <c r="C14" t="s">
        <v>1201</v>
      </c>
      <c r="D14" s="13">
        <v>1765.81</v>
      </c>
      <c r="E14" t="s">
        <v>142</v>
      </c>
    </row>
    <row r="15" spans="1:5" x14ac:dyDescent="0.3">
      <c r="A15" t="s">
        <v>2882</v>
      </c>
      <c r="B15" t="s">
        <v>2873</v>
      </c>
      <c r="C15" t="s">
        <v>1201</v>
      </c>
      <c r="D15" s="13">
        <v>1243.81</v>
      </c>
      <c r="E15" t="s">
        <v>2891</v>
      </c>
    </row>
    <row r="16" spans="1:5" x14ac:dyDescent="0.3">
      <c r="A16" t="s">
        <v>2884</v>
      </c>
      <c r="B16" t="s">
        <v>2879</v>
      </c>
      <c r="C16" t="s">
        <v>1227</v>
      </c>
      <c r="D16" s="13">
        <v>434.02</v>
      </c>
      <c r="E16" t="s">
        <v>2874</v>
      </c>
    </row>
    <row r="17" spans="1:5" x14ac:dyDescent="0.3">
      <c r="A17" t="s">
        <v>2889</v>
      </c>
      <c r="B17" t="s">
        <v>2890</v>
      </c>
      <c r="C17" t="s">
        <v>1227</v>
      </c>
      <c r="D17" s="13">
        <v>1758.19</v>
      </c>
      <c r="E17" t="s">
        <v>2876</v>
      </c>
    </row>
    <row r="18" spans="1:5" x14ac:dyDescent="0.3">
      <c r="A18" t="s">
        <v>2878</v>
      </c>
      <c r="B18" t="s">
        <v>2879</v>
      </c>
      <c r="C18" t="s">
        <v>1251</v>
      </c>
      <c r="D18" s="13">
        <v>1236.77</v>
      </c>
      <c r="E18" t="s">
        <v>142</v>
      </c>
    </row>
    <row r="19" spans="1:5" x14ac:dyDescent="0.3">
      <c r="A19" t="s">
        <v>2892</v>
      </c>
      <c r="B19" t="s">
        <v>2893</v>
      </c>
      <c r="C19" t="s">
        <v>1251</v>
      </c>
      <c r="D19" s="13">
        <v>761</v>
      </c>
      <c r="E19" t="s">
        <v>142</v>
      </c>
    </row>
    <row r="20" spans="1:5" x14ac:dyDescent="0.3">
      <c r="A20" t="s">
        <v>2885</v>
      </c>
      <c r="B20" t="s">
        <v>2881</v>
      </c>
      <c r="C20" t="s">
        <v>1208</v>
      </c>
      <c r="D20" s="13">
        <v>279.81</v>
      </c>
      <c r="E20" t="s">
        <v>2891</v>
      </c>
    </row>
    <row r="21" spans="1:5" x14ac:dyDescent="0.3">
      <c r="A21" t="s">
        <v>2875</v>
      </c>
      <c r="B21" t="s">
        <v>2881</v>
      </c>
      <c r="C21" t="s">
        <v>1251</v>
      </c>
      <c r="D21" s="13">
        <v>1548.68</v>
      </c>
      <c r="E21" t="s">
        <v>142</v>
      </c>
    </row>
    <row r="22" spans="1:5" x14ac:dyDescent="0.3">
      <c r="A22" t="s">
        <v>2880</v>
      </c>
      <c r="B22" t="s">
        <v>2890</v>
      </c>
      <c r="C22" t="s">
        <v>1212</v>
      </c>
      <c r="D22" s="13">
        <v>1874.16</v>
      </c>
      <c r="E22" t="s">
        <v>2876</v>
      </c>
    </row>
    <row r="23" spans="1:5" x14ac:dyDescent="0.3">
      <c r="A23" t="s">
        <v>2887</v>
      </c>
      <c r="B23" t="s">
        <v>2894</v>
      </c>
      <c r="C23" t="s">
        <v>1251</v>
      </c>
      <c r="D23" s="13">
        <v>736.73</v>
      </c>
      <c r="E23" t="s">
        <v>142</v>
      </c>
    </row>
    <row r="24" spans="1:5" x14ac:dyDescent="0.3">
      <c r="A24" t="s">
        <v>2895</v>
      </c>
      <c r="B24" t="s">
        <v>2893</v>
      </c>
      <c r="C24" t="s">
        <v>1227</v>
      </c>
      <c r="D24" s="13">
        <v>271.8</v>
      </c>
      <c r="E24" t="s">
        <v>2891</v>
      </c>
    </row>
    <row r="25" spans="1:5" x14ac:dyDescent="0.3">
      <c r="A25" t="s">
        <v>2896</v>
      </c>
      <c r="B25" t="s">
        <v>2893</v>
      </c>
      <c r="C25" t="s">
        <v>1288</v>
      </c>
      <c r="D25" s="13">
        <v>1319.45</v>
      </c>
      <c r="E25" t="s">
        <v>2891</v>
      </c>
    </row>
    <row r="26" spans="1:5" x14ac:dyDescent="0.3">
      <c r="A26" t="s">
        <v>2878</v>
      </c>
      <c r="B26" t="s">
        <v>2893</v>
      </c>
      <c r="C26" t="s">
        <v>1220</v>
      </c>
      <c r="D26" s="13">
        <v>249.36</v>
      </c>
      <c r="E26" t="s">
        <v>142</v>
      </c>
    </row>
    <row r="27" spans="1:5" x14ac:dyDescent="0.3">
      <c r="A27" t="s">
        <v>2895</v>
      </c>
      <c r="B27" t="s">
        <v>2890</v>
      </c>
      <c r="C27" t="s">
        <v>1238</v>
      </c>
      <c r="D27" s="13">
        <v>20678.900000000001</v>
      </c>
      <c r="E27" t="s">
        <v>2876</v>
      </c>
    </row>
    <row r="28" spans="1:5" x14ac:dyDescent="0.3">
      <c r="A28" t="s">
        <v>2897</v>
      </c>
      <c r="B28" t="s">
        <v>2894</v>
      </c>
      <c r="C28" t="s">
        <v>1201</v>
      </c>
      <c r="D28" s="13">
        <v>1517.65</v>
      </c>
      <c r="E28" t="s">
        <v>2876</v>
      </c>
    </row>
    <row r="29" spans="1:5" x14ac:dyDescent="0.3">
      <c r="A29" t="s">
        <v>2898</v>
      </c>
      <c r="B29" t="s">
        <v>2899</v>
      </c>
      <c r="C29" t="s">
        <v>1238</v>
      </c>
      <c r="D29" s="13">
        <v>1921.33</v>
      </c>
      <c r="E29" t="s">
        <v>2876</v>
      </c>
    </row>
    <row r="30" spans="1:5" x14ac:dyDescent="0.3">
      <c r="A30" t="s">
        <v>2900</v>
      </c>
      <c r="B30" t="s">
        <v>2890</v>
      </c>
      <c r="C30" t="s">
        <v>1234</v>
      </c>
      <c r="D30" s="13">
        <v>1731.68</v>
      </c>
      <c r="E30" t="s">
        <v>142</v>
      </c>
    </row>
    <row r="31" spans="1:5" x14ac:dyDescent="0.3">
      <c r="A31" t="s">
        <v>2901</v>
      </c>
      <c r="B31" t="s">
        <v>2902</v>
      </c>
      <c r="C31" t="s">
        <v>1208</v>
      </c>
      <c r="D31" s="13">
        <v>1407.68</v>
      </c>
      <c r="E31" t="s">
        <v>142</v>
      </c>
    </row>
    <row r="32" spans="1:5" x14ac:dyDescent="0.3">
      <c r="A32" t="s">
        <v>2903</v>
      </c>
      <c r="B32" t="s">
        <v>2881</v>
      </c>
      <c r="C32" t="s">
        <v>1208</v>
      </c>
      <c r="D32" s="13">
        <v>890.47</v>
      </c>
      <c r="E32" t="s">
        <v>2891</v>
      </c>
    </row>
    <row r="33" spans="1:5" x14ac:dyDescent="0.3">
      <c r="A33" t="s">
        <v>2900</v>
      </c>
      <c r="B33" t="s">
        <v>2886</v>
      </c>
      <c r="C33" t="s">
        <v>1201</v>
      </c>
      <c r="D33" s="13">
        <v>1771.48</v>
      </c>
      <c r="E33" t="s">
        <v>2891</v>
      </c>
    </row>
    <row r="34" spans="1:5" x14ac:dyDescent="0.3">
      <c r="A34" t="s">
        <v>2872</v>
      </c>
      <c r="B34" t="s">
        <v>2873</v>
      </c>
      <c r="C34" t="s">
        <v>1208</v>
      </c>
      <c r="D34" s="13">
        <v>2004.67</v>
      </c>
      <c r="E34" t="s">
        <v>2891</v>
      </c>
    </row>
    <row r="35" spans="1:5" x14ac:dyDescent="0.3">
      <c r="A35" t="s">
        <v>2896</v>
      </c>
      <c r="B35" t="s">
        <v>2902</v>
      </c>
      <c r="C35" t="s">
        <v>1201</v>
      </c>
      <c r="D35" s="13">
        <v>344.53</v>
      </c>
      <c r="E35" t="s">
        <v>2891</v>
      </c>
    </row>
    <row r="36" spans="1:5" x14ac:dyDescent="0.3">
      <c r="A36" t="s">
        <v>2877</v>
      </c>
      <c r="B36" t="s">
        <v>2890</v>
      </c>
      <c r="C36" t="s">
        <v>1238</v>
      </c>
      <c r="D36" s="13">
        <v>1502.94</v>
      </c>
      <c r="E36" t="s">
        <v>2874</v>
      </c>
    </row>
    <row r="37" spans="1:5" x14ac:dyDescent="0.3">
      <c r="A37" t="s">
        <v>2872</v>
      </c>
      <c r="B37" t="s">
        <v>2890</v>
      </c>
      <c r="C37" t="s">
        <v>1201</v>
      </c>
      <c r="D37" s="13">
        <v>658.64</v>
      </c>
      <c r="E37" t="s">
        <v>2891</v>
      </c>
    </row>
    <row r="38" spans="1:5" x14ac:dyDescent="0.3">
      <c r="A38" t="s">
        <v>2898</v>
      </c>
      <c r="B38" t="s">
        <v>2873</v>
      </c>
      <c r="C38" t="s">
        <v>1220</v>
      </c>
      <c r="D38" s="13">
        <v>535.35</v>
      </c>
      <c r="E38" t="s">
        <v>2891</v>
      </c>
    </row>
    <row r="39" spans="1:5" x14ac:dyDescent="0.3">
      <c r="A39" t="s">
        <v>2897</v>
      </c>
      <c r="B39" t="s">
        <v>2873</v>
      </c>
      <c r="C39" t="s">
        <v>1216</v>
      </c>
      <c r="D39" s="13">
        <v>1977.55</v>
      </c>
      <c r="E39" t="s">
        <v>142</v>
      </c>
    </row>
    <row r="40" spans="1:5" x14ac:dyDescent="0.3">
      <c r="A40" t="s">
        <v>2895</v>
      </c>
      <c r="B40" t="s">
        <v>2894</v>
      </c>
      <c r="C40" t="s">
        <v>1216</v>
      </c>
      <c r="D40" s="13">
        <v>1556</v>
      </c>
      <c r="E40" t="s">
        <v>142</v>
      </c>
    </row>
    <row r="41" spans="1:5" x14ac:dyDescent="0.3">
      <c r="A41" t="s">
        <v>2885</v>
      </c>
      <c r="B41" t="s">
        <v>2881</v>
      </c>
      <c r="C41" t="s">
        <v>1216</v>
      </c>
      <c r="D41" s="13">
        <v>1754.98</v>
      </c>
      <c r="E41" t="s">
        <v>2891</v>
      </c>
    </row>
    <row r="42" spans="1:5" x14ac:dyDescent="0.3">
      <c r="A42" t="s">
        <v>2889</v>
      </c>
      <c r="B42" t="s">
        <v>2881</v>
      </c>
      <c r="C42" t="s">
        <v>1216</v>
      </c>
      <c r="D42" s="13">
        <v>612.15</v>
      </c>
      <c r="E42" t="s">
        <v>2874</v>
      </c>
    </row>
    <row r="43" spans="1:5" x14ac:dyDescent="0.3">
      <c r="A43" t="s">
        <v>2887</v>
      </c>
      <c r="B43" t="s">
        <v>2873</v>
      </c>
      <c r="C43" t="s">
        <v>1220</v>
      </c>
      <c r="D43" s="13">
        <v>1405.26</v>
      </c>
      <c r="E43" t="s">
        <v>2876</v>
      </c>
    </row>
    <row r="44" spans="1:5" x14ac:dyDescent="0.3">
      <c r="A44" t="s">
        <v>2880</v>
      </c>
      <c r="B44" t="s">
        <v>2883</v>
      </c>
      <c r="C44" t="s">
        <v>1288</v>
      </c>
      <c r="D44" s="13">
        <v>1664.72</v>
      </c>
      <c r="E44" t="s">
        <v>142</v>
      </c>
    </row>
    <row r="45" spans="1:5" x14ac:dyDescent="0.3">
      <c r="A45" t="s">
        <v>2895</v>
      </c>
      <c r="B45" t="s">
        <v>2879</v>
      </c>
      <c r="C45" t="s">
        <v>1251</v>
      </c>
      <c r="D45" s="13">
        <v>1223.24</v>
      </c>
      <c r="E45" t="s">
        <v>2874</v>
      </c>
    </row>
    <row r="46" spans="1:5" x14ac:dyDescent="0.3">
      <c r="A46" t="s">
        <v>2878</v>
      </c>
      <c r="B46" t="s">
        <v>2881</v>
      </c>
      <c r="C46" t="s">
        <v>1227</v>
      </c>
      <c r="D46" s="13">
        <v>584.84</v>
      </c>
      <c r="E46" t="s">
        <v>2874</v>
      </c>
    </row>
    <row r="47" spans="1:5" x14ac:dyDescent="0.3">
      <c r="A47" t="s">
        <v>2889</v>
      </c>
      <c r="B47" t="s">
        <v>2893</v>
      </c>
      <c r="C47" t="s">
        <v>1227</v>
      </c>
      <c r="D47" s="13">
        <v>1961.43</v>
      </c>
      <c r="E47" t="s">
        <v>142</v>
      </c>
    </row>
    <row r="48" spans="1:5" x14ac:dyDescent="0.3">
      <c r="A48" t="s">
        <v>2900</v>
      </c>
      <c r="B48" t="s">
        <v>2902</v>
      </c>
      <c r="C48" t="s">
        <v>1227</v>
      </c>
      <c r="D48" s="13">
        <v>674.24</v>
      </c>
      <c r="E48" t="s">
        <v>2874</v>
      </c>
    </row>
    <row r="49" spans="1:5" x14ac:dyDescent="0.3">
      <c r="A49" t="s">
        <v>2887</v>
      </c>
      <c r="B49" t="s">
        <v>2879</v>
      </c>
      <c r="C49" t="s">
        <v>1251</v>
      </c>
      <c r="D49" s="13">
        <v>929.52</v>
      </c>
      <c r="E49" t="s">
        <v>2891</v>
      </c>
    </row>
    <row r="50" spans="1:5" x14ac:dyDescent="0.3">
      <c r="A50" t="s">
        <v>2898</v>
      </c>
      <c r="B50" t="s">
        <v>2902</v>
      </c>
      <c r="C50" t="s">
        <v>1201</v>
      </c>
      <c r="D50" s="13">
        <v>1922.32</v>
      </c>
      <c r="E50" t="s">
        <v>142</v>
      </c>
    </row>
    <row r="51" spans="1:5" x14ac:dyDescent="0.3">
      <c r="A51" t="s">
        <v>2878</v>
      </c>
      <c r="B51" t="s">
        <v>2873</v>
      </c>
      <c r="C51" t="s">
        <v>1234</v>
      </c>
      <c r="D51" s="13">
        <v>1544.79</v>
      </c>
      <c r="E51" t="s">
        <v>2876</v>
      </c>
    </row>
    <row r="52" spans="1:5" x14ac:dyDescent="0.3">
      <c r="A52" t="s">
        <v>2884</v>
      </c>
      <c r="B52" t="s">
        <v>2879</v>
      </c>
      <c r="C52" t="s">
        <v>1234</v>
      </c>
      <c r="D52" s="13">
        <v>4567.8900000000003</v>
      </c>
      <c r="E52" t="s">
        <v>2891</v>
      </c>
    </row>
    <row r="53" spans="1:5" x14ac:dyDescent="0.3">
      <c r="A53" t="s">
        <v>2895</v>
      </c>
      <c r="B53" t="s">
        <v>2893</v>
      </c>
      <c r="C53" t="s">
        <v>1234</v>
      </c>
      <c r="D53" s="13">
        <v>1808.56</v>
      </c>
      <c r="E53" t="s">
        <v>2876</v>
      </c>
    </row>
    <row r="54" spans="1:5" x14ac:dyDescent="0.3">
      <c r="A54" t="s">
        <v>2884</v>
      </c>
      <c r="B54" t="s">
        <v>2879</v>
      </c>
      <c r="C54" t="s">
        <v>1234</v>
      </c>
      <c r="D54" s="13">
        <v>4567.8900000000003</v>
      </c>
      <c r="E54" t="s">
        <v>2891</v>
      </c>
    </row>
    <row r="55" spans="1:5" x14ac:dyDescent="0.3">
      <c r="A55" t="s">
        <v>2888</v>
      </c>
      <c r="B55" t="s">
        <v>2890</v>
      </c>
      <c r="C55" t="s">
        <v>1208</v>
      </c>
      <c r="D55" s="13">
        <v>415.48</v>
      </c>
      <c r="E55" t="s">
        <v>2891</v>
      </c>
    </row>
    <row r="56" spans="1:5" x14ac:dyDescent="0.3">
      <c r="A56" t="s">
        <v>2904</v>
      </c>
      <c r="B56" t="s">
        <v>2879</v>
      </c>
      <c r="C56" t="s">
        <v>1227</v>
      </c>
      <c r="D56" s="13">
        <v>767.31</v>
      </c>
      <c r="E56" t="s">
        <v>142</v>
      </c>
    </row>
    <row r="57" spans="1:5" x14ac:dyDescent="0.3">
      <c r="A57" t="s">
        <v>2898</v>
      </c>
      <c r="B57" t="s">
        <v>2890</v>
      </c>
      <c r="C57" t="s">
        <v>1227</v>
      </c>
      <c r="D57" s="13">
        <v>1364.56</v>
      </c>
      <c r="E57" t="s">
        <v>2876</v>
      </c>
    </row>
    <row r="58" spans="1:5" x14ac:dyDescent="0.3">
      <c r="A58" t="s">
        <v>2882</v>
      </c>
      <c r="B58" t="s">
        <v>2890</v>
      </c>
      <c r="C58" t="s">
        <v>1201</v>
      </c>
      <c r="D58" s="13">
        <v>296.73</v>
      </c>
      <c r="E58" t="s">
        <v>2876</v>
      </c>
    </row>
    <row r="59" spans="1:5" x14ac:dyDescent="0.3">
      <c r="A59" t="s">
        <v>2889</v>
      </c>
      <c r="B59" t="s">
        <v>2902</v>
      </c>
      <c r="C59" t="s">
        <v>1220</v>
      </c>
      <c r="D59" s="13">
        <v>323.95999999999998</v>
      </c>
      <c r="E59" t="s">
        <v>142</v>
      </c>
    </row>
    <row r="60" spans="1:5" x14ac:dyDescent="0.3">
      <c r="A60" t="s">
        <v>2888</v>
      </c>
      <c r="B60" t="s">
        <v>2881</v>
      </c>
      <c r="C60" t="s">
        <v>1216</v>
      </c>
      <c r="D60" s="13">
        <v>96.05</v>
      </c>
      <c r="E60" t="s">
        <v>2891</v>
      </c>
    </row>
    <row r="61" spans="1:5" x14ac:dyDescent="0.3">
      <c r="A61" t="s">
        <v>2892</v>
      </c>
      <c r="B61" t="s">
        <v>2893</v>
      </c>
      <c r="C61" t="s">
        <v>1227</v>
      </c>
      <c r="D61" s="13">
        <v>1094.5999999999999</v>
      </c>
      <c r="E61" t="s">
        <v>2876</v>
      </c>
    </row>
    <row r="62" spans="1:5" x14ac:dyDescent="0.3">
      <c r="A62" t="s">
        <v>2888</v>
      </c>
      <c r="B62" t="s">
        <v>2902</v>
      </c>
      <c r="C62" t="s">
        <v>1208</v>
      </c>
      <c r="D62" s="13">
        <v>1436.12</v>
      </c>
      <c r="E62" t="s">
        <v>2891</v>
      </c>
    </row>
    <row r="63" spans="1:5" x14ac:dyDescent="0.3">
      <c r="A63" t="s">
        <v>2875</v>
      </c>
      <c r="B63" t="s">
        <v>2894</v>
      </c>
      <c r="C63" t="s">
        <v>1208</v>
      </c>
      <c r="D63" s="13">
        <v>441.01</v>
      </c>
      <c r="E63" t="s">
        <v>2874</v>
      </c>
    </row>
    <row r="64" spans="1:5" x14ac:dyDescent="0.3">
      <c r="A64" t="s">
        <v>2903</v>
      </c>
      <c r="B64" t="s">
        <v>2879</v>
      </c>
      <c r="C64" t="s">
        <v>1227</v>
      </c>
      <c r="D64" s="13">
        <v>57.8</v>
      </c>
      <c r="E64" t="s">
        <v>142</v>
      </c>
    </row>
    <row r="65" spans="1:5" x14ac:dyDescent="0.3">
      <c r="A65" t="s">
        <v>2872</v>
      </c>
      <c r="B65" t="s">
        <v>2883</v>
      </c>
      <c r="C65" t="s">
        <v>1208</v>
      </c>
      <c r="D65" s="13">
        <v>99.27</v>
      </c>
      <c r="E65" t="s">
        <v>2876</v>
      </c>
    </row>
    <row r="66" spans="1:5" x14ac:dyDescent="0.3">
      <c r="A66" t="s">
        <v>2895</v>
      </c>
      <c r="B66" t="s">
        <v>2886</v>
      </c>
      <c r="C66" t="s">
        <v>1238</v>
      </c>
      <c r="D66" s="13">
        <v>1850.96</v>
      </c>
      <c r="E66" t="s">
        <v>142</v>
      </c>
    </row>
    <row r="67" spans="1:5" x14ac:dyDescent="0.3">
      <c r="A67" t="s">
        <v>2878</v>
      </c>
      <c r="B67" t="s">
        <v>2893</v>
      </c>
      <c r="C67" t="s">
        <v>1201</v>
      </c>
      <c r="D67" s="13">
        <v>84.81</v>
      </c>
      <c r="E67" t="s">
        <v>2874</v>
      </c>
    </row>
    <row r="68" spans="1:5" x14ac:dyDescent="0.3">
      <c r="A68" t="s">
        <v>2900</v>
      </c>
      <c r="B68" t="s">
        <v>2902</v>
      </c>
      <c r="C68" t="s">
        <v>1238</v>
      </c>
      <c r="D68" s="13">
        <v>1752.58</v>
      </c>
      <c r="E68" t="s">
        <v>142</v>
      </c>
    </row>
    <row r="69" spans="1:5" x14ac:dyDescent="0.3">
      <c r="A69" t="s">
        <v>2904</v>
      </c>
      <c r="B69" t="s">
        <v>2902</v>
      </c>
      <c r="C69" t="s">
        <v>1238</v>
      </c>
      <c r="D69" s="13">
        <v>118.66</v>
      </c>
      <c r="E69" t="s">
        <v>2876</v>
      </c>
    </row>
    <row r="70" spans="1:5" x14ac:dyDescent="0.3">
      <c r="A70" t="s">
        <v>2892</v>
      </c>
      <c r="B70" t="s">
        <v>2886</v>
      </c>
      <c r="C70" t="s">
        <v>1251</v>
      </c>
      <c r="D70" s="13">
        <v>1040.1400000000001</v>
      </c>
      <c r="E70" t="s">
        <v>2876</v>
      </c>
    </row>
    <row r="71" spans="1:5" x14ac:dyDescent="0.3">
      <c r="A71" t="s">
        <v>2888</v>
      </c>
      <c r="B71" t="s">
        <v>2899</v>
      </c>
      <c r="C71" t="s">
        <v>1227</v>
      </c>
      <c r="D71" s="13">
        <v>1526.9</v>
      </c>
      <c r="E71" t="s">
        <v>2874</v>
      </c>
    </row>
    <row r="72" spans="1:5" x14ac:dyDescent="0.3">
      <c r="A72" t="s">
        <v>2887</v>
      </c>
      <c r="B72" t="s">
        <v>2886</v>
      </c>
      <c r="C72" t="s">
        <v>1201</v>
      </c>
      <c r="D72" s="13">
        <v>461.54</v>
      </c>
      <c r="E72" t="s">
        <v>142</v>
      </c>
    </row>
    <row r="73" spans="1:5" x14ac:dyDescent="0.3">
      <c r="A73" t="s">
        <v>2901</v>
      </c>
      <c r="B73" t="s">
        <v>2873</v>
      </c>
      <c r="C73" t="s">
        <v>1234</v>
      </c>
      <c r="D73" s="13">
        <v>1508.73</v>
      </c>
      <c r="E73" t="s">
        <v>2891</v>
      </c>
    </row>
    <row r="74" spans="1:5" x14ac:dyDescent="0.3">
      <c r="A74" t="s">
        <v>2904</v>
      </c>
      <c r="B74" t="s">
        <v>2881</v>
      </c>
      <c r="C74" t="s">
        <v>1227</v>
      </c>
      <c r="D74" s="13">
        <v>1792.38</v>
      </c>
      <c r="E74" t="s">
        <v>2874</v>
      </c>
    </row>
    <row r="75" spans="1:5" x14ac:dyDescent="0.3">
      <c r="A75" t="s">
        <v>2880</v>
      </c>
      <c r="B75" t="s">
        <v>2893</v>
      </c>
      <c r="C75" t="s">
        <v>1208</v>
      </c>
      <c r="D75" s="13">
        <v>189.12</v>
      </c>
      <c r="E75" t="s">
        <v>142</v>
      </c>
    </row>
    <row r="76" spans="1:5" x14ac:dyDescent="0.3">
      <c r="A76" t="s">
        <v>2904</v>
      </c>
      <c r="B76" t="s">
        <v>2886</v>
      </c>
      <c r="C76" t="s">
        <v>1201</v>
      </c>
      <c r="D76" s="13">
        <v>872.83</v>
      </c>
      <c r="E76" t="s">
        <v>2874</v>
      </c>
    </row>
    <row r="77" spans="1:5" x14ac:dyDescent="0.3">
      <c r="A77" t="s">
        <v>2877</v>
      </c>
      <c r="B77" t="s">
        <v>2899</v>
      </c>
      <c r="C77" t="s">
        <v>1238</v>
      </c>
      <c r="D77" s="13">
        <v>123.92</v>
      </c>
      <c r="E77" t="s">
        <v>2874</v>
      </c>
    </row>
    <row r="78" spans="1:5" x14ac:dyDescent="0.3">
      <c r="A78" t="s">
        <v>2887</v>
      </c>
      <c r="B78" t="s">
        <v>2894</v>
      </c>
      <c r="C78" t="s">
        <v>1208</v>
      </c>
      <c r="D78" s="13">
        <v>734.77</v>
      </c>
      <c r="E78" t="s">
        <v>142</v>
      </c>
    </row>
    <row r="79" spans="1:5" x14ac:dyDescent="0.3">
      <c r="A79" t="s">
        <v>2878</v>
      </c>
      <c r="B79" t="s">
        <v>2881</v>
      </c>
      <c r="C79" t="s">
        <v>1238</v>
      </c>
      <c r="D79" s="13">
        <v>22942.22</v>
      </c>
      <c r="E79" t="s">
        <v>2876</v>
      </c>
    </row>
    <row r="80" spans="1:5" x14ac:dyDescent="0.3">
      <c r="A80" t="s">
        <v>2904</v>
      </c>
      <c r="B80" t="s">
        <v>2879</v>
      </c>
      <c r="C80" t="s">
        <v>1227</v>
      </c>
      <c r="D80" s="13">
        <v>1940.08</v>
      </c>
      <c r="E80" t="s">
        <v>2876</v>
      </c>
    </row>
    <row r="81" spans="1:5" x14ac:dyDescent="0.3">
      <c r="A81" t="s">
        <v>2903</v>
      </c>
      <c r="B81" t="s">
        <v>2902</v>
      </c>
      <c r="C81" t="s">
        <v>1201</v>
      </c>
      <c r="D81" s="13">
        <v>197.08</v>
      </c>
      <c r="E81" t="s">
        <v>2874</v>
      </c>
    </row>
    <row r="82" spans="1:5" x14ac:dyDescent="0.3">
      <c r="A82" t="s">
        <v>2896</v>
      </c>
      <c r="B82" t="s">
        <v>2873</v>
      </c>
      <c r="C82" t="s">
        <v>1216</v>
      </c>
      <c r="D82" s="13">
        <v>918.81</v>
      </c>
      <c r="E82" t="s">
        <v>2876</v>
      </c>
    </row>
    <row r="83" spans="1:5" x14ac:dyDescent="0.3">
      <c r="A83" t="s">
        <v>2872</v>
      </c>
      <c r="B83" t="s">
        <v>2902</v>
      </c>
      <c r="C83" t="s">
        <v>1251</v>
      </c>
      <c r="D83" s="13">
        <v>1713.76</v>
      </c>
      <c r="E83" t="s">
        <v>142</v>
      </c>
    </row>
    <row r="84" spans="1:5" x14ac:dyDescent="0.3">
      <c r="A84" t="s">
        <v>2877</v>
      </c>
      <c r="B84" t="s">
        <v>2883</v>
      </c>
      <c r="C84" t="s">
        <v>1234</v>
      </c>
      <c r="D84" s="13">
        <v>1405.55</v>
      </c>
      <c r="E84" t="s">
        <v>2891</v>
      </c>
    </row>
    <row r="85" spans="1:5" x14ac:dyDescent="0.3">
      <c r="A85" t="s">
        <v>2882</v>
      </c>
      <c r="B85" t="s">
        <v>2873</v>
      </c>
      <c r="C85" t="s">
        <v>1208</v>
      </c>
      <c r="D85" s="13">
        <v>940.43</v>
      </c>
      <c r="E85" t="s">
        <v>142</v>
      </c>
    </row>
    <row r="86" spans="1:5" x14ac:dyDescent="0.3">
      <c r="A86" t="s">
        <v>2884</v>
      </c>
      <c r="B86" t="s">
        <v>2902</v>
      </c>
      <c r="C86" t="s">
        <v>1220</v>
      </c>
      <c r="D86" s="13">
        <v>447.76</v>
      </c>
      <c r="E86" t="s">
        <v>2874</v>
      </c>
    </row>
    <row r="87" spans="1:5" x14ac:dyDescent="0.3">
      <c r="A87" t="s">
        <v>2900</v>
      </c>
      <c r="B87" t="s">
        <v>2902</v>
      </c>
      <c r="C87" t="s">
        <v>1238</v>
      </c>
      <c r="D87" s="13">
        <v>1920.58</v>
      </c>
      <c r="E87" t="s">
        <v>2876</v>
      </c>
    </row>
    <row r="88" spans="1:5" x14ac:dyDescent="0.3">
      <c r="A88" t="s">
        <v>2884</v>
      </c>
      <c r="B88" t="s">
        <v>2893</v>
      </c>
      <c r="C88" t="s">
        <v>1212</v>
      </c>
      <c r="D88" s="13">
        <v>1321.52</v>
      </c>
      <c r="E88" t="s">
        <v>2874</v>
      </c>
    </row>
    <row r="89" spans="1:5" x14ac:dyDescent="0.3">
      <c r="A89" t="s">
        <v>2882</v>
      </c>
      <c r="B89" t="s">
        <v>2894</v>
      </c>
      <c r="C89" t="s">
        <v>1234</v>
      </c>
      <c r="D89" s="13">
        <v>133.94999999999999</v>
      </c>
      <c r="E89" t="s">
        <v>2891</v>
      </c>
    </row>
    <row r="90" spans="1:5" x14ac:dyDescent="0.3">
      <c r="A90" t="s">
        <v>2884</v>
      </c>
      <c r="B90" t="s">
        <v>2893</v>
      </c>
      <c r="C90" t="s">
        <v>1201</v>
      </c>
      <c r="D90" s="13">
        <v>726.87</v>
      </c>
      <c r="E90" t="s">
        <v>2876</v>
      </c>
    </row>
    <row r="91" spans="1:5" x14ac:dyDescent="0.3">
      <c r="A91" t="s">
        <v>2885</v>
      </c>
      <c r="B91" t="s">
        <v>2902</v>
      </c>
      <c r="C91" t="s">
        <v>1227</v>
      </c>
      <c r="D91" s="13">
        <v>1033.29</v>
      </c>
      <c r="E91" t="s">
        <v>2891</v>
      </c>
    </row>
    <row r="92" spans="1:5" x14ac:dyDescent="0.3">
      <c r="A92" t="s">
        <v>2901</v>
      </c>
      <c r="B92" t="s">
        <v>2881</v>
      </c>
      <c r="C92" t="s">
        <v>1227</v>
      </c>
      <c r="D92" s="13">
        <v>528.44000000000005</v>
      </c>
      <c r="E92" t="s">
        <v>2891</v>
      </c>
    </row>
    <row r="93" spans="1:5" x14ac:dyDescent="0.3">
      <c r="A93" t="s">
        <v>2903</v>
      </c>
      <c r="B93" t="s">
        <v>2879</v>
      </c>
      <c r="C93" t="s">
        <v>1216</v>
      </c>
      <c r="D93" s="13">
        <v>627.9</v>
      </c>
      <c r="E93" t="s">
        <v>2874</v>
      </c>
    </row>
    <row r="94" spans="1:5" x14ac:dyDescent="0.3">
      <c r="A94" t="s">
        <v>2895</v>
      </c>
      <c r="B94" t="s">
        <v>2890</v>
      </c>
      <c r="C94" t="s">
        <v>1234</v>
      </c>
      <c r="D94" s="13">
        <v>819.98</v>
      </c>
      <c r="E94" t="s">
        <v>142</v>
      </c>
    </row>
    <row r="95" spans="1:5" x14ac:dyDescent="0.3">
      <c r="A95" t="s">
        <v>2872</v>
      </c>
      <c r="B95" t="s">
        <v>2886</v>
      </c>
      <c r="C95" t="s">
        <v>1238</v>
      </c>
      <c r="D95" s="13">
        <v>1880.49</v>
      </c>
      <c r="E95" t="s">
        <v>2876</v>
      </c>
    </row>
    <row r="96" spans="1:5" x14ac:dyDescent="0.3">
      <c r="A96" t="s">
        <v>2880</v>
      </c>
      <c r="B96" t="s">
        <v>2893</v>
      </c>
      <c r="C96" t="s">
        <v>1234</v>
      </c>
      <c r="D96" s="13">
        <v>1184.54</v>
      </c>
      <c r="E96" t="s">
        <v>2891</v>
      </c>
    </row>
    <row r="97" spans="1:5" x14ac:dyDescent="0.3">
      <c r="A97" t="s">
        <v>2898</v>
      </c>
      <c r="B97" t="s">
        <v>2879</v>
      </c>
      <c r="C97" t="s">
        <v>1234</v>
      </c>
      <c r="D97" s="13">
        <v>694.11</v>
      </c>
      <c r="E97" t="s">
        <v>142</v>
      </c>
    </row>
    <row r="98" spans="1:5" x14ac:dyDescent="0.3">
      <c r="A98" t="s">
        <v>2878</v>
      </c>
      <c r="B98" t="s">
        <v>2873</v>
      </c>
      <c r="C98" t="s">
        <v>1220</v>
      </c>
      <c r="D98" s="13">
        <v>2039.17</v>
      </c>
      <c r="E98" t="s">
        <v>142</v>
      </c>
    </row>
    <row r="99" spans="1:5" x14ac:dyDescent="0.3">
      <c r="A99" t="s">
        <v>2900</v>
      </c>
      <c r="B99" t="s">
        <v>2890</v>
      </c>
      <c r="C99" t="s">
        <v>1220</v>
      </c>
      <c r="D99" s="13">
        <v>1339.34</v>
      </c>
      <c r="E99" t="s">
        <v>2891</v>
      </c>
    </row>
    <row r="100" spans="1:5" x14ac:dyDescent="0.3">
      <c r="A100" t="s">
        <v>2904</v>
      </c>
      <c r="B100" t="s">
        <v>2873</v>
      </c>
      <c r="C100" t="s">
        <v>1220</v>
      </c>
      <c r="D100" s="13">
        <v>1098.81</v>
      </c>
      <c r="E100" t="s">
        <v>142</v>
      </c>
    </row>
    <row r="101" spans="1:5" x14ac:dyDescent="0.3">
      <c r="A101" t="s">
        <v>2877</v>
      </c>
      <c r="B101" t="s">
        <v>2886</v>
      </c>
      <c r="C101" t="s">
        <v>1288</v>
      </c>
      <c r="D101" s="13">
        <v>576.44000000000005</v>
      </c>
      <c r="E101" t="s">
        <v>2874</v>
      </c>
    </row>
    <row r="102" spans="1:5" x14ac:dyDescent="0.3">
      <c r="A102" t="s">
        <v>2887</v>
      </c>
      <c r="B102" t="s">
        <v>2899</v>
      </c>
      <c r="C102" t="s">
        <v>1212</v>
      </c>
      <c r="D102" s="13">
        <v>1612.61</v>
      </c>
      <c r="E102" t="s">
        <v>142</v>
      </c>
    </row>
    <row r="103" spans="1:5" x14ac:dyDescent="0.3">
      <c r="A103" t="s">
        <v>2901</v>
      </c>
      <c r="B103" t="s">
        <v>2881</v>
      </c>
      <c r="C103" t="s">
        <v>1251</v>
      </c>
      <c r="D103" s="13">
        <v>1520.18</v>
      </c>
      <c r="E103" t="s">
        <v>2874</v>
      </c>
    </row>
    <row r="104" spans="1:5" x14ac:dyDescent="0.3">
      <c r="A104" t="s">
        <v>2895</v>
      </c>
      <c r="B104" t="s">
        <v>2890</v>
      </c>
      <c r="C104" t="s">
        <v>1238</v>
      </c>
      <c r="D104" s="13">
        <v>5000</v>
      </c>
      <c r="E104" t="s">
        <v>2874</v>
      </c>
    </row>
    <row r="105" spans="1:5" x14ac:dyDescent="0.3">
      <c r="A105" t="s">
        <v>2878</v>
      </c>
      <c r="B105" t="s">
        <v>2894</v>
      </c>
      <c r="C105" t="s">
        <v>1251</v>
      </c>
      <c r="D105" s="13">
        <v>1230.54</v>
      </c>
      <c r="E105" t="s">
        <v>2891</v>
      </c>
    </row>
    <row r="106" spans="1:5" x14ac:dyDescent="0.3">
      <c r="A106" t="s">
        <v>2877</v>
      </c>
      <c r="B106" t="s">
        <v>2886</v>
      </c>
      <c r="C106" t="s">
        <v>1288</v>
      </c>
      <c r="D106" s="13">
        <v>359.53</v>
      </c>
      <c r="E106" t="s">
        <v>2874</v>
      </c>
    </row>
    <row r="107" spans="1:5" x14ac:dyDescent="0.3">
      <c r="A107" t="s">
        <v>2880</v>
      </c>
      <c r="B107" t="s">
        <v>2883</v>
      </c>
      <c r="C107" t="s">
        <v>1227</v>
      </c>
      <c r="D107" s="13">
        <v>1268.24</v>
      </c>
      <c r="E107" t="s">
        <v>142</v>
      </c>
    </row>
    <row r="108" spans="1:5" x14ac:dyDescent="0.3">
      <c r="A108" t="s">
        <v>2892</v>
      </c>
      <c r="B108" t="s">
        <v>2873</v>
      </c>
      <c r="C108" t="s">
        <v>1208</v>
      </c>
      <c r="D108" s="13">
        <v>1472.27</v>
      </c>
      <c r="E108" t="s">
        <v>2891</v>
      </c>
    </row>
    <row r="109" spans="1:5" x14ac:dyDescent="0.3">
      <c r="A109" t="s">
        <v>2895</v>
      </c>
      <c r="B109" t="s">
        <v>2886</v>
      </c>
      <c r="C109" t="s">
        <v>1288</v>
      </c>
      <c r="D109" s="13">
        <v>1092.8499999999999</v>
      </c>
      <c r="E109" t="s">
        <v>2891</v>
      </c>
    </row>
    <row r="110" spans="1:5" x14ac:dyDescent="0.3">
      <c r="A110" t="s">
        <v>2889</v>
      </c>
      <c r="B110" t="s">
        <v>2881</v>
      </c>
      <c r="C110" t="s">
        <v>1216</v>
      </c>
      <c r="D110" s="13">
        <v>1660.65</v>
      </c>
      <c r="E110" t="s">
        <v>2874</v>
      </c>
    </row>
    <row r="111" spans="1:5" x14ac:dyDescent="0.3">
      <c r="A111" t="s">
        <v>2877</v>
      </c>
      <c r="B111" t="s">
        <v>2881</v>
      </c>
      <c r="C111" t="s">
        <v>1212</v>
      </c>
      <c r="D111" s="13">
        <v>1290.6400000000001</v>
      </c>
      <c r="E111" t="s">
        <v>142</v>
      </c>
    </row>
    <row r="112" spans="1:5" x14ac:dyDescent="0.3">
      <c r="A112" t="s">
        <v>2904</v>
      </c>
      <c r="B112" t="s">
        <v>2902</v>
      </c>
      <c r="C112" t="s">
        <v>1220</v>
      </c>
      <c r="D112" s="13">
        <v>1172.0999999999999</v>
      </c>
      <c r="E112" t="s">
        <v>2891</v>
      </c>
    </row>
    <row r="113" spans="1:5" x14ac:dyDescent="0.3">
      <c r="A113" t="s">
        <v>2875</v>
      </c>
      <c r="B113" t="s">
        <v>2894</v>
      </c>
      <c r="C113" t="s">
        <v>1227</v>
      </c>
      <c r="D113" s="13">
        <v>993.97</v>
      </c>
      <c r="E113" t="s">
        <v>2891</v>
      </c>
    </row>
    <row r="114" spans="1:5" x14ac:dyDescent="0.3">
      <c r="A114" t="s">
        <v>2898</v>
      </c>
      <c r="B114" t="s">
        <v>2894</v>
      </c>
      <c r="C114" t="s">
        <v>1220</v>
      </c>
      <c r="D114" s="13">
        <v>1077.5999999999999</v>
      </c>
      <c r="E114" t="s">
        <v>2876</v>
      </c>
    </row>
    <row r="115" spans="1:5" x14ac:dyDescent="0.3">
      <c r="A115" t="s">
        <v>2888</v>
      </c>
      <c r="B115" t="s">
        <v>2883</v>
      </c>
      <c r="C115" t="s">
        <v>1220</v>
      </c>
      <c r="D115" s="13">
        <v>431.17</v>
      </c>
      <c r="E115" t="s">
        <v>142</v>
      </c>
    </row>
    <row r="116" spans="1:5" x14ac:dyDescent="0.3">
      <c r="A116" t="s">
        <v>2897</v>
      </c>
      <c r="B116" t="s">
        <v>2879</v>
      </c>
      <c r="C116" t="s">
        <v>1288</v>
      </c>
      <c r="D116" s="13">
        <v>1693.53</v>
      </c>
      <c r="E116" t="s">
        <v>2876</v>
      </c>
    </row>
    <row r="117" spans="1:5" x14ac:dyDescent="0.3">
      <c r="A117" t="s">
        <v>2901</v>
      </c>
      <c r="B117" t="s">
        <v>2894</v>
      </c>
      <c r="C117" t="s">
        <v>1201</v>
      </c>
      <c r="D117" s="13">
        <v>1753.33</v>
      </c>
      <c r="E117" t="s">
        <v>142</v>
      </c>
    </row>
    <row r="118" spans="1:5" x14ac:dyDescent="0.3">
      <c r="A118" t="s">
        <v>2895</v>
      </c>
      <c r="B118" t="s">
        <v>2902</v>
      </c>
      <c r="C118" t="s">
        <v>1227</v>
      </c>
      <c r="D118" s="13">
        <v>1587.87</v>
      </c>
      <c r="E118" t="s">
        <v>2874</v>
      </c>
    </row>
    <row r="119" spans="1:5" x14ac:dyDescent="0.3">
      <c r="A119" t="s">
        <v>2877</v>
      </c>
      <c r="B119" t="s">
        <v>2902</v>
      </c>
      <c r="C119" t="s">
        <v>1220</v>
      </c>
      <c r="D119" s="13">
        <v>1921.98</v>
      </c>
      <c r="E119" t="s">
        <v>2876</v>
      </c>
    </row>
    <row r="120" spans="1:5" x14ac:dyDescent="0.3">
      <c r="A120" t="s">
        <v>2896</v>
      </c>
      <c r="B120" t="s">
        <v>2881</v>
      </c>
      <c r="C120" t="s">
        <v>1208</v>
      </c>
      <c r="D120" s="13">
        <v>91.29</v>
      </c>
      <c r="E120" t="s">
        <v>2874</v>
      </c>
    </row>
    <row r="121" spans="1:5" x14ac:dyDescent="0.3">
      <c r="A121" t="s">
        <v>2887</v>
      </c>
      <c r="B121" t="s">
        <v>2890</v>
      </c>
      <c r="C121" t="s">
        <v>1220</v>
      </c>
      <c r="D121" s="13">
        <v>1297.25</v>
      </c>
      <c r="E121" t="s">
        <v>2891</v>
      </c>
    </row>
    <row r="122" spans="1:5" x14ac:dyDescent="0.3">
      <c r="A122" t="s">
        <v>2877</v>
      </c>
      <c r="B122" t="s">
        <v>2873</v>
      </c>
      <c r="C122" t="s">
        <v>1234</v>
      </c>
      <c r="D122" s="13">
        <v>565.4</v>
      </c>
      <c r="E122" t="s">
        <v>2874</v>
      </c>
    </row>
    <row r="123" spans="1:5" x14ac:dyDescent="0.3">
      <c r="A123" t="s">
        <v>2884</v>
      </c>
      <c r="B123" t="s">
        <v>2902</v>
      </c>
      <c r="C123" t="s">
        <v>1238</v>
      </c>
      <c r="D123" s="13">
        <v>1048.6199999999999</v>
      </c>
      <c r="E123" t="s">
        <v>2891</v>
      </c>
    </row>
    <row r="124" spans="1:5" x14ac:dyDescent="0.3">
      <c r="A124" t="s">
        <v>2898</v>
      </c>
      <c r="B124" t="s">
        <v>2890</v>
      </c>
      <c r="C124" t="s">
        <v>1212</v>
      </c>
      <c r="D124" s="13">
        <v>573.55999999999995</v>
      </c>
      <c r="E124" t="s">
        <v>2874</v>
      </c>
    </row>
    <row r="125" spans="1:5" x14ac:dyDescent="0.3">
      <c r="A125" t="s">
        <v>2877</v>
      </c>
      <c r="B125" t="s">
        <v>2879</v>
      </c>
      <c r="C125" t="s">
        <v>1216</v>
      </c>
      <c r="D125" s="13">
        <v>2049.41</v>
      </c>
      <c r="E125" t="s">
        <v>2876</v>
      </c>
    </row>
    <row r="126" spans="1:5" x14ac:dyDescent="0.3">
      <c r="A126" t="s">
        <v>2897</v>
      </c>
      <c r="B126" t="s">
        <v>2899</v>
      </c>
      <c r="C126" t="s">
        <v>1220</v>
      </c>
      <c r="D126" s="13">
        <v>1329.97</v>
      </c>
      <c r="E126" t="s">
        <v>2876</v>
      </c>
    </row>
    <row r="127" spans="1:5" x14ac:dyDescent="0.3">
      <c r="A127" t="s">
        <v>2892</v>
      </c>
      <c r="B127" t="s">
        <v>2881</v>
      </c>
      <c r="C127" t="s">
        <v>1234</v>
      </c>
      <c r="D127" s="13">
        <v>780.82</v>
      </c>
      <c r="E127" t="s">
        <v>2874</v>
      </c>
    </row>
    <row r="128" spans="1:5" x14ac:dyDescent="0.3">
      <c r="A128" t="s">
        <v>2895</v>
      </c>
      <c r="B128" t="s">
        <v>2881</v>
      </c>
      <c r="C128" t="s">
        <v>1238</v>
      </c>
      <c r="D128" s="13">
        <v>1436.2</v>
      </c>
      <c r="E128" t="s">
        <v>2876</v>
      </c>
    </row>
    <row r="129" spans="1:5" x14ac:dyDescent="0.3">
      <c r="A129" t="s">
        <v>2896</v>
      </c>
      <c r="B129" t="s">
        <v>2893</v>
      </c>
      <c r="C129" t="s">
        <v>1238</v>
      </c>
      <c r="D129" s="13">
        <v>16449.82</v>
      </c>
      <c r="E129" t="s">
        <v>142</v>
      </c>
    </row>
    <row r="130" spans="1:5" x14ac:dyDescent="0.3">
      <c r="A130" t="s">
        <v>2878</v>
      </c>
      <c r="B130" t="s">
        <v>2899</v>
      </c>
      <c r="C130" t="s">
        <v>1234</v>
      </c>
      <c r="D130" s="13">
        <v>1031.3900000000001</v>
      </c>
      <c r="E130" t="s">
        <v>2891</v>
      </c>
    </row>
    <row r="131" spans="1:5" x14ac:dyDescent="0.3">
      <c r="A131" t="s">
        <v>2898</v>
      </c>
      <c r="B131" t="s">
        <v>2890</v>
      </c>
      <c r="C131" t="s">
        <v>1234</v>
      </c>
      <c r="D131" s="13">
        <v>1979.15</v>
      </c>
      <c r="E131" t="s">
        <v>2874</v>
      </c>
    </row>
    <row r="132" spans="1:5" x14ac:dyDescent="0.3">
      <c r="A132" t="s">
        <v>2878</v>
      </c>
      <c r="B132" t="s">
        <v>2881</v>
      </c>
      <c r="C132" t="s">
        <v>1227</v>
      </c>
      <c r="D132" s="13">
        <v>937.56</v>
      </c>
      <c r="E132" t="s">
        <v>2891</v>
      </c>
    </row>
    <row r="133" spans="1:5" x14ac:dyDescent="0.3">
      <c r="A133" t="s">
        <v>2892</v>
      </c>
      <c r="B133" t="s">
        <v>2894</v>
      </c>
      <c r="C133" t="s">
        <v>1234</v>
      </c>
      <c r="D133" s="13">
        <v>564.98</v>
      </c>
      <c r="E133" t="s">
        <v>142</v>
      </c>
    </row>
    <row r="134" spans="1:5" x14ac:dyDescent="0.3">
      <c r="A134" t="s">
        <v>2872</v>
      </c>
      <c r="B134" t="s">
        <v>2894</v>
      </c>
      <c r="C134" t="s">
        <v>1238</v>
      </c>
      <c r="D134" s="13">
        <v>1629.82</v>
      </c>
      <c r="E134" t="s">
        <v>2874</v>
      </c>
    </row>
    <row r="135" spans="1:5" x14ac:dyDescent="0.3">
      <c r="A135" t="s">
        <v>2900</v>
      </c>
      <c r="B135" t="s">
        <v>2886</v>
      </c>
      <c r="C135" t="s">
        <v>1220</v>
      </c>
      <c r="D135" s="13">
        <v>1066.8599999999999</v>
      </c>
      <c r="E135" t="s">
        <v>2876</v>
      </c>
    </row>
    <row r="136" spans="1:5" x14ac:dyDescent="0.3">
      <c r="A136" t="s">
        <v>2897</v>
      </c>
      <c r="B136" t="s">
        <v>2873</v>
      </c>
      <c r="C136" t="s">
        <v>1201</v>
      </c>
      <c r="D136" s="13">
        <v>542.77</v>
      </c>
      <c r="E136" t="s">
        <v>142</v>
      </c>
    </row>
    <row r="137" spans="1:5" x14ac:dyDescent="0.3">
      <c r="A137" t="s">
        <v>2880</v>
      </c>
      <c r="B137" t="s">
        <v>2902</v>
      </c>
      <c r="C137" t="s">
        <v>1220</v>
      </c>
      <c r="D137" s="13">
        <v>1084.6600000000001</v>
      </c>
      <c r="E137" t="s">
        <v>2874</v>
      </c>
    </row>
    <row r="138" spans="1:5" x14ac:dyDescent="0.3">
      <c r="A138" t="s">
        <v>2900</v>
      </c>
      <c r="B138" t="s">
        <v>2890</v>
      </c>
      <c r="C138" t="s">
        <v>1220</v>
      </c>
      <c r="D138" s="13">
        <v>590.39</v>
      </c>
      <c r="E138" t="s">
        <v>142</v>
      </c>
    </row>
    <row r="139" spans="1:5" x14ac:dyDescent="0.3">
      <c r="A139" t="s">
        <v>2888</v>
      </c>
      <c r="B139" t="s">
        <v>2894</v>
      </c>
      <c r="C139" t="s">
        <v>1251</v>
      </c>
      <c r="D139" s="13">
        <v>1455.5</v>
      </c>
      <c r="E139" t="s">
        <v>2876</v>
      </c>
    </row>
    <row r="140" spans="1:5" x14ac:dyDescent="0.3">
      <c r="A140" t="s">
        <v>2884</v>
      </c>
      <c r="B140" t="s">
        <v>2890</v>
      </c>
      <c r="C140" t="s">
        <v>1238</v>
      </c>
      <c r="D140" s="13">
        <v>1089.4100000000001</v>
      </c>
      <c r="E140" t="s">
        <v>2891</v>
      </c>
    </row>
    <row r="141" spans="1:5" x14ac:dyDescent="0.3">
      <c r="A141" t="s">
        <v>2904</v>
      </c>
      <c r="B141" t="s">
        <v>2873</v>
      </c>
      <c r="C141" t="s">
        <v>1208</v>
      </c>
      <c r="D141" s="13">
        <v>989.66</v>
      </c>
      <c r="E141" t="s">
        <v>2874</v>
      </c>
    </row>
    <row r="142" spans="1:5" x14ac:dyDescent="0.3">
      <c r="A142" t="s">
        <v>2901</v>
      </c>
      <c r="B142" t="s">
        <v>2890</v>
      </c>
      <c r="C142" t="s">
        <v>1220</v>
      </c>
      <c r="D142" s="13">
        <v>651.74</v>
      </c>
      <c r="E142" t="s">
        <v>2874</v>
      </c>
    </row>
    <row r="143" spans="1:5" x14ac:dyDescent="0.3">
      <c r="A143" t="s">
        <v>2904</v>
      </c>
      <c r="B143" t="s">
        <v>2902</v>
      </c>
      <c r="C143" t="s">
        <v>1208</v>
      </c>
      <c r="D143" s="13">
        <v>659.46</v>
      </c>
      <c r="E143" t="s">
        <v>2891</v>
      </c>
    </row>
    <row r="144" spans="1:5" x14ac:dyDescent="0.3">
      <c r="A144" t="s">
        <v>2884</v>
      </c>
      <c r="B144" t="s">
        <v>2881</v>
      </c>
      <c r="C144" t="s">
        <v>1201</v>
      </c>
      <c r="D144" s="13">
        <v>2023.2</v>
      </c>
      <c r="E144" t="s">
        <v>2874</v>
      </c>
    </row>
    <row r="145" spans="1:5" x14ac:dyDescent="0.3">
      <c r="A145" t="s">
        <v>2880</v>
      </c>
      <c r="B145" t="s">
        <v>2881</v>
      </c>
      <c r="C145" t="s">
        <v>1251</v>
      </c>
      <c r="D145" s="13">
        <v>1388.34</v>
      </c>
      <c r="E145" t="s">
        <v>2874</v>
      </c>
    </row>
    <row r="146" spans="1:5" x14ac:dyDescent="0.3">
      <c r="A146" t="s">
        <v>2875</v>
      </c>
      <c r="B146" t="s">
        <v>2893</v>
      </c>
      <c r="C146" t="s">
        <v>1288</v>
      </c>
      <c r="D146" s="13">
        <v>1362.75</v>
      </c>
      <c r="E146" t="s">
        <v>142</v>
      </c>
    </row>
    <row r="147" spans="1:5" x14ac:dyDescent="0.3">
      <c r="A147" t="s">
        <v>2877</v>
      </c>
      <c r="B147" t="s">
        <v>2883</v>
      </c>
      <c r="C147" t="s">
        <v>1208</v>
      </c>
      <c r="D147" s="13">
        <v>1306.8</v>
      </c>
      <c r="E147" t="s">
        <v>2891</v>
      </c>
    </row>
    <row r="148" spans="1:5" x14ac:dyDescent="0.3">
      <c r="A148" t="s">
        <v>2880</v>
      </c>
      <c r="B148" t="s">
        <v>2894</v>
      </c>
      <c r="C148" t="s">
        <v>1227</v>
      </c>
      <c r="D148" s="13">
        <v>238.57</v>
      </c>
      <c r="E148" t="s">
        <v>2876</v>
      </c>
    </row>
    <row r="149" spans="1:5" x14ac:dyDescent="0.3">
      <c r="A149" t="s">
        <v>2898</v>
      </c>
      <c r="B149" t="s">
        <v>2899</v>
      </c>
      <c r="C149" t="s">
        <v>1251</v>
      </c>
      <c r="D149" s="13">
        <v>779.16</v>
      </c>
      <c r="E149" t="s">
        <v>142</v>
      </c>
    </row>
    <row r="150" spans="1:5" x14ac:dyDescent="0.3">
      <c r="A150" t="s">
        <v>2888</v>
      </c>
      <c r="B150" t="s">
        <v>2893</v>
      </c>
      <c r="C150" t="s">
        <v>1234</v>
      </c>
      <c r="D150" s="13">
        <v>1879.47</v>
      </c>
      <c r="E150" t="s">
        <v>2876</v>
      </c>
    </row>
    <row r="151" spans="1:5" x14ac:dyDescent="0.3">
      <c r="A151" t="s">
        <v>2888</v>
      </c>
      <c r="B151" t="s">
        <v>2890</v>
      </c>
      <c r="C151" t="s">
        <v>1201</v>
      </c>
      <c r="D151" s="13">
        <v>1293.78</v>
      </c>
      <c r="E151" t="s">
        <v>2874</v>
      </c>
    </row>
    <row r="152" spans="1:5" x14ac:dyDescent="0.3">
      <c r="A152" t="s">
        <v>2889</v>
      </c>
      <c r="B152" t="s">
        <v>2893</v>
      </c>
      <c r="C152" t="s">
        <v>1288</v>
      </c>
      <c r="D152" s="13">
        <v>459.85</v>
      </c>
      <c r="E152" t="s">
        <v>142</v>
      </c>
    </row>
    <row r="153" spans="1:5" x14ac:dyDescent="0.3">
      <c r="A153" t="s">
        <v>2885</v>
      </c>
      <c r="B153" t="s">
        <v>2894</v>
      </c>
      <c r="C153" t="s">
        <v>1238</v>
      </c>
      <c r="D153" s="13">
        <v>282.58</v>
      </c>
      <c r="E153" t="s">
        <v>2891</v>
      </c>
    </row>
    <row r="154" spans="1:5" x14ac:dyDescent="0.3">
      <c r="A154" t="s">
        <v>2896</v>
      </c>
      <c r="B154" t="s">
        <v>2883</v>
      </c>
      <c r="C154" t="s">
        <v>1227</v>
      </c>
      <c r="D154" s="13">
        <v>5000</v>
      </c>
      <c r="E154" t="s">
        <v>2876</v>
      </c>
    </row>
    <row r="155" spans="1:5" x14ac:dyDescent="0.3">
      <c r="A155" t="s">
        <v>2903</v>
      </c>
      <c r="B155" t="s">
        <v>2879</v>
      </c>
      <c r="C155" t="s">
        <v>1216</v>
      </c>
      <c r="D155" s="13">
        <v>1006.22</v>
      </c>
      <c r="E155" t="s">
        <v>142</v>
      </c>
    </row>
    <row r="156" spans="1:5" x14ac:dyDescent="0.3">
      <c r="A156" t="s">
        <v>2901</v>
      </c>
      <c r="B156" t="s">
        <v>2873</v>
      </c>
      <c r="C156" t="s">
        <v>1251</v>
      </c>
      <c r="D156" s="13">
        <v>1580.14</v>
      </c>
      <c r="E156" t="s">
        <v>142</v>
      </c>
    </row>
    <row r="157" spans="1:5" x14ac:dyDescent="0.3">
      <c r="A157" t="s">
        <v>2885</v>
      </c>
      <c r="B157" t="s">
        <v>2890</v>
      </c>
      <c r="C157" t="s">
        <v>1208</v>
      </c>
      <c r="D157" s="13">
        <v>1076.5</v>
      </c>
      <c r="E157" t="s">
        <v>2891</v>
      </c>
    </row>
    <row r="158" spans="1:5" x14ac:dyDescent="0.3">
      <c r="A158" t="s">
        <v>2888</v>
      </c>
      <c r="B158" t="s">
        <v>2879</v>
      </c>
      <c r="C158" t="s">
        <v>1234</v>
      </c>
      <c r="D158" s="13">
        <v>1706.05</v>
      </c>
      <c r="E158" t="s">
        <v>142</v>
      </c>
    </row>
    <row r="159" spans="1:5" x14ac:dyDescent="0.3">
      <c r="A159" t="s">
        <v>2875</v>
      </c>
      <c r="B159" t="s">
        <v>2873</v>
      </c>
      <c r="C159" t="s">
        <v>1220</v>
      </c>
      <c r="D159" s="13">
        <v>421.27</v>
      </c>
      <c r="E159" t="s">
        <v>2891</v>
      </c>
    </row>
    <row r="160" spans="1:5" x14ac:dyDescent="0.3">
      <c r="A160" t="s">
        <v>2875</v>
      </c>
      <c r="B160" t="s">
        <v>2894</v>
      </c>
      <c r="C160" t="s">
        <v>1288</v>
      </c>
      <c r="D160" s="13">
        <v>567.34</v>
      </c>
      <c r="E160" t="s">
        <v>2874</v>
      </c>
    </row>
    <row r="161" spans="1:5" x14ac:dyDescent="0.3">
      <c r="A161" t="s">
        <v>2892</v>
      </c>
      <c r="B161" t="s">
        <v>2886</v>
      </c>
      <c r="C161" t="s">
        <v>1288</v>
      </c>
      <c r="D161" s="13">
        <v>161.78</v>
      </c>
      <c r="E161" t="s">
        <v>2874</v>
      </c>
    </row>
    <row r="162" spans="1:5" x14ac:dyDescent="0.3">
      <c r="A162" t="s">
        <v>2904</v>
      </c>
      <c r="B162" t="s">
        <v>2873</v>
      </c>
      <c r="C162" t="s">
        <v>1251</v>
      </c>
      <c r="D162" s="13">
        <v>1647.95</v>
      </c>
      <c r="E162" t="s">
        <v>2891</v>
      </c>
    </row>
    <row r="163" spans="1:5" x14ac:dyDescent="0.3">
      <c r="A163" t="s">
        <v>2904</v>
      </c>
      <c r="B163" t="s">
        <v>2893</v>
      </c>
      <c r="C163" t="s">
        <v>1238</v>
      </c>
      <c r="D163" s="13">
        <v>1222.57</v>
      </c>
      <c r="E163" t="s">
        <v>142</v>
      </c>
    </row>
    <row r="164" spans="1:5" x14ac:dyDescent="0.3">
      <c r="A164" t="s">
        <v>2872</v>
      </c>
      <c r="B164" t="s">
        <v>2873</v>
      </c>
      <c r="C164" t="s">
        <v>1227</v>
      </c>
      <c r="D164" s="13">
        <v>780.87</v>
      </c>
      <c r="E164" t="s">
        <v>142</v>
      </c>
    </row>
    <row r="165" spans="1:5" x14ac:dyDescent="0.3">
      <c r="A165" t="s">
        <v>2900</v>
      </c>
      <c r="B165" t="s">
        <v>2902</v>
      </c>
      <c r="C165" t="s">
        <v>1208</v>
      </c>
      <c r="D165" s="13">
        <v>1228.6099999999999</v>
      </c>
      <c r="E165" t="s">
        <v>2891</v>
      </c>
    </row>
    <row r="166" spans="1:5" x14ac:dyDescent="0.3">
      <c r="A166" t="s">
        <v>2900</v>
      </c>
      <c r="B166" t="s">
        <v>2902</v>
      </c>
      <c r="C166" t="s">
        <v>1220</v>
      </c>
      <c r="D166" s="13">
        <v>1323.5</v>
      </c>
      <c r="E166" t="s">
        <v>2876</v>
      </c>
    </row>
    <row r="167" spans="1:5" x14ac:dyDescent="0.3">
      <c r="A167" t="s">
        <v>2903</v>
      </c>
      <c r="B167" t="s">
        <v>2879</v>
      </c>
      <c r="C167" t="s">
        <v>1227</v>
      </c>
      <c r="D167" s="13">
        <v>435.54</v>
      </c>
      <c r="E167" t="s">
        <v>142</v>
      </c>
    </row>
    <row r="168" spans="1:5" x14ac:dyDescent="0.3">
      <c r="A168" t="s">
        <v>2887</v>
      </c>
      <c r="B168" t="s">
        <v>2899</v>
      </c>
      <c r="C168" t="s">
        <v>1251</v>
      </c>
      <c r="D168" s="13">
        <v>1820.4</v>
      </c>
      <c r="E168" t="s">
        <v>2874</v>
      </c>
    </row>
    <row r="169" spans="1:5" x14ac:dyDescent="0.3">
      <c r="A169" t="s">
        <v>2884</v>
      </c>
      <c r="B169" t="s">
        <v>2894</v>
      </c>
      <c r="C169" t="s">
        <v>1216</v>
      </c>
      <c r="D169" s="13">
        <v>119.29</v>
      </c>
      <c r="E169" t="s">
        <v>2876</v>
      </c>
    </row>
    <row r="170" spans="1:5" x14ac:dyDescent="0.3">
      <c r="A170" t="s">
        <v>2897</v>
      </c>
      <c r="B170" t="s">
        <v>2890</v>
      </c>
      <c r="C170" t="s">
        <v>1238</v>
      </c>
      <c r="D170" s="13">
        <v>1887.62</v>
      </c>
      <c r="E170" t="s">
        <v>2891</v>
      </c>
    </row>
    <row r="171" spans="1:5" x14ac:dyDescent="0.3">
      <c r="A171" t="s">
        <v>2896</v>
      </c>
      <c r="B171" t="s">
        <v>2893</v>
      </c>
      <c r="C171" t="s">
        <v>1208</v>
      </c>
      <c r="D171" s="13">
        <v>1484.74</v>
      </c>
      <c r="E171" t="s">
        <v>2874</v>
      </c>
    </row>
    <row r="172" spans="1:5" x14ac:dyDescent="0.3">
      <c r="A172" t="s">
        <v>2896</v>
      </c>
      <c r="B172" t="s">
        <v>2881</v>
      </c>
      <c r="C172" t="s">
        <v>1227</v>
      </c>
      <c r="D172" s="13">
        <v>1293.58</v>
      </c>
      <c r="E172" t="s">
        <v>2891</v>
      </c>
    </row>
    <row r="173" spans="1:5" x14ac:dyDescent="0.3">
      <c r="A173" t="s">
        <v>2901</v>
      </c>
      <c r="B173" t="s">
        <v>2879</v>
      </c>
      <c r="C173" t="s">
        <v>1251</v>
      </c>
      <c r="D173" s="13">
        <v>300.58999999999997</v>
      </c>
      <c r="E173" t="s">
        <v>2874</v>
      </c>
    </row>
    <row r="174" spans="1:5" x14ac:dyDescent="0.3">
      <c r="A174" t="s">
        <v>2887</v>
      </c>
      <c r="B174" t="s">
        <v>2894</v>
      </c>
      <c r="C174" t="s">
        <v>1216</v>
      </c>
      <c r="D174" s="13">
        <v>109.46</v>
      </c>
      <c r="E174" t="s">
        <v>2891</v>
      </c>
    </row>
    <row r="175" spans="1:5" x14ac:dyDescent="0.3">
      <c r="A175" t="s">
        <v>2878</v>
      </c>
      <c r="B175" t="s">
        <v>2873</v>
      </c>
      <c r="C175" t="s">
        <v>1251</v>
      </c>
      <c r="D175" s="13">
        <v>1445.28</v>
      </c>
      <c r="E175" t="s">
        <v>142</v>
      </c>
    </row>
    <row r="176" spans="1:5" x14ac:dyDescent="0.3">
      <c r="A176" t="s">
        <v>2897</v>
      </c>
      <c r="B176" t="s">
        <v>2899</v>
      </c>
      <c r="C176" t="s">
        <v>1234</v>
      </c>
      <c r="D176" s="13">
        <v>1959.68</v>
      </c>
      <c r="E176" t="s">
        <v>2891</v>
      </c>
    </row>
    <row r="177" spans="1:5" x14ac:dyDescent="0.3">
      <c r="A177" t="s">
        <v>2884</v>
      </c>
      <c r="B177" t="s">
        <v>2886</v>
      </c>
      <c r="C177" t="s">
        <v>1212</v>
      </c>
      <c r="D177" s="13">
        <v>1763.92</v>
      </c>
      <c r="E177" t="s">
        <v>2891</v>
      </c>
    </row>
    <row r="178" spans="1:5" x14ac:dyDescent="0.3">
      <c r="A178" t="s">
        <v>2878</v>
      </c>
      <c r="B178" t="s">
        <v>2894</v>
      </c>
      <c r="C178" t="s">
        <v>1238</v>
      </c>
      <c r="D178" s="13">
        <v>466.19</v>
      </c>
      <c r="E178" t="s">
        <v>2891</v>
      </c>
    </row>
    <row r="179" spans="1:5" x14ac:dyDescent="0.3">
      <c r="A179" t="s">
        <v>2895</v>
      </c>
      <c r="B179" t="s">
        <v>2879</v>
      </c>
      <c r="C179" t="s">
        <v>1216</v>
      </c>
      <c r="D179" s="13">
        <v>17473.009999999998</v>
      </c>
      <c r="E179" t="s">
        <v>2891</v>
      </c>
    </row>
    <row r="180" spans="1:5" x14ac:dyDescent="0.3">
      <c r="A180" t="s">
        <v>2892</v>
      </c>
      <c r="B180" t="s">
        <v>2902</v>
      </c>
      <c r="C180" t="s">
        <v>1227</v>
      </c>
      <c r="D180" s="13">
        <v>1773.43</v>
      </c>
      <c r="E180" t="s">
        <v>142</v>
      </c>
    </row>
    <row r="181" spans="1:5" x14ac:dyDescent="0.3">
      <c r="A181" t="s">
        <v>2878</v>
      </c>
      <c r="B181" t="s">
        <v>2886</v>
      </c>
      <c r="C181" t="s">
        <v>1201</v>
      </c>
      <c r="D181" s="13">
        <v>53.37</v>
      </c>
      <c r="E181" t="s">
        <v>2874</v>
      </c>
    </row>
    <row r="182" spans="1:5" x14ac:dyDescent="0.3">
      <c r="A182" t="s">
        <v>2872</v>
      </c>
      <c r="B182" t="s">
        <v>2879</v>
      </c>
      <c r="C182" t="s">
        <v>1234</v>
      </c>
      <c r="D182" s="13">
        <v>1712.09</v>
      </c>
      <c r="E182" t="s">
        <v>2874</v>
      </c>
    </row>
    <row r="183" spans="1:5" x14ac:dyDescent="0.3">
      <c r="A183" t="s">
        <v>2877</v>
      </c>
      <c r="B183" t="s">
        <v>2886</v>
      </c>
      <c r="C183" t="s">
        <v>1227</v>
      </c>
      <c r="D183" s="13">
        <v>1982.59</v>
      </c>
      <c r="E183" t="s">
        <v>2876</v>
      </c>
    </row>
    <row r="184" spans="1:5" x14ac:dyDescent="0.3">
      <c r="A184" t="s">
        <v>2885</v>
      </c>
      <c r="B184" t="s">
        <v>2886</v>
      </c>
      <c r="C184" t="s">
        <v>1216</v>
      </c>
      <c r="D184" s="13">
        <v>1177.1600000000001</v>
      </c>
      <c r="E184" t="s">
        <v>2874</v>
      </c>
    </row>
    <row r="185" spans="1:5" x14ac:dyDescent="0.3">
      <c r="A185" t="s">
        <v>2877</v>
      </c>
      <c r="B185" t="s">
        <v>2873</v>
      </c>
      <c r="C185" t="s">
        <v>1251</v>
      </c>
      <c r="D185" s="13">
        <v>1431.97</v>
      </c>
      <c r="E185" t="s">
        <v>2876</v>
      </c>
    </row>
    <row r="186" spans="1:5" x14ac:dyDescent="0.3">
      <c r="A186" t="s">
        <v>2887</v>
      </c>
      <c r="B186" t="s">
        <v>2894</v>
      </c>
      <c r="C186" t="s">
        <v>1227</v>
      </c>
      <c r="D186" s="13">
        <v>1926.45</v>
      </c>
      <c r="E186" t="s">
        <v>2891</v>
      </c>
    </row>
    <row r="187" spans="1:5" x14ac:dyDescent="0.3">
      <c r="A187" t="s">
        <v>2897</v>
      </c>
      <c r="B187" t="s">
        <v>2873</v>
      </c>
      <c r="C187" t="s">
        <v>1227</v>
      </c>
      <c r="D187" s="13">
        <v>1423.89</v>
      </c>
      <c r="E187" t="s">
        <v>142</v>
      </c>
    </row>
    <row r="188" spans="1:5" x14ac:dyDescent="0.3">
      <c r="A188" t="s">
        <v>2872</v>
      </c>
      <c r="B188" t="s">
        <v>2893</v>
      </c>
      <c r="C188" t="s">
        <v>1251</v>
      </c>
      <c r="D188" s="13">
        <v>799.1</v>
      </c>
      <c r="E188" t="s">
        <v>2876</v>
      </c>
    </row>
    <row r="189" spans="1:5" x14ac:dyDescent="0.3">
      <c r="A189" t="s">
        <v>2900</v>
      </c>
      <c r="B189" t="s">
        <v>2899</v>
      </c>
      <c r="C189" t="s">
        <v>1227</v>
      </c>
      <c r="D189" s="13">
        <v>924.81</v>
      </c>
      <c r="E189" t="s">
        <v>142</v>
      </c>
    </row>
    <row r="190" spans="1:5" x14ac:dyDescent="0.3">
      <c r="A190" t="s">
        <v>2882</v>
      </c>
      <c r="B190" t="s">
        <v>2883</v>
      </c>
      <c r="C190" t="s">
        <v>1251</v>
      </c>
      <c r="D190" s="13">
        <v>1426.64</v>
      </c>
      <c r="E190" t="s">
        <v>142</v>
      </c>
    </row>
    <row r="191" spans="1:5" x14ac:dyDescent="0.3">
      <c r="A191" t="s">
        <v>2900</v>
      </c>
      <c r="B191" t="s">
        <v>2894</v>
      </c>
      <c r="C191" t="s">
        <v>1220</v>
      </c>
      <c r="D191" s="13">
        <v>858.37</v>
      </c>
      <c r="E191" t="s">
        <v>2876</v>
      </c>
    </row>
    <row r="192" spans="1:5" x14ac:dyDescent="0.3">
      <c r="A192" t="s">
        <v>2898</v>
      </c>
      <c r="B192" t="s">
        <v>2873</v>
      </c>
      <c r="C192" t="s">
        <v>1288</v>
      </c>
      <c r="D192" s="13">
        <v>1064.6500000000001</v>
      </c>
      <c r="E192" t="s">
        <v>2874</v>
      </c>
    </row>
    <row r="193" spans="1:5" x14ac:dyDescent="0.3">
      <c r="A193" t="s">
        <v>2897</v>
      </c>
      <c r="B193" t="s">
        <v>2881</v>
      </c>
      <c r="C193" t="s">
        <v>1208</v>
      </c>
      <c r="D193" s="13">
        <v>553.03</v>
      </c>
      <c r="E193" t="s">
        <v>142</v>
      </c>
    </row>
    <row r="194" spans="1:5" x14ac:dyDescent="0.3">
      <c r="A194" t="s">
        <v>2901</v>
      </c>
      <c r="B194" t="s">
        <v>2890</v>
      </c>
      <c r="C194" t="s">
        <v>1238</v>
      </c>
      <c r="D194" s="13">
        <v>1721.54</v>
      </c>
      <c r="E194" t="s">
        <v>2876</v>
      </c>
    </row>
    <row r="195" spans="1:5" x14ac:dyDescent="0.3">
      <c r="A195" t="s">
        <v>2877</v>
      </c>
      <c r="B195" t="s">
        <v>2886</v>
      </c>
      <c r="C195" t="s">
        <v>1234</v>
      </c>
      <c r="D195" s="13">
        <v>395.63</v>
      </c>
      <c r="E195" t="s">
        <v>2891</v>
      </c>
    </row>
    <row r="196" spans="1:5" x14ac:dyDescent="0.3">
      <c r="A196" t="s">
        <v>2896</v>
      </c>
      <c r="B196" t="s">
        <v>2886</v>
      </c>
      <c r="C196" t="s">
        <v>1220</v>
      </c>
      <c r="D196" s="13">
        <v>1590.83</v>
      </c>
      <c r="E196" t="s">
        <v>2874</v>
      </c>
    </row>
    <row r="197" spans="1:5" x14ac:dyDescent="0.3">
      <c r="A197" t="s">
        <v>2877</v>
      </c>
      <c r="B197" t="s">
        <v>2893</v>
      </c>
      <c r="C197" t="s">
        <v>1227</v>
      </c>
      <c r="D197" s="13">
        <v>1998.03</v>
      </c>
      <c r="E197" t="s">
        <v>2874</v>
      </c>
    </row>
    <row r="198" spans="1:5" x14ac:dyDescent="0.3">
      <c r="A198" t="s">
        <v>2875</v>
      </c>
      <c r="B198" t="s">
        <v>2894</v>
      </c>
      <c r="C198" t="s">
        <v>1227</v>
      </c>
      <c r="D198" s="13">
        <v>975.16</v>
      </c>
      <c r="E198" t="s">
        <v>2876</v>
      </c>
    </row>
    <row r="199" spans="1:5" x14ac:dyDescent="0.3">
      <c r="A199" t="s">
        <v>2897</v>
      </c>
      <c r="B199" t="s">
        <v>2873</v>
      </c>
      <c r="C199" t="s">
        <v>1201</v>
      </c>
      <c r="D199" s="13">
        <v>135.11000000000001</v>
      </c>
      <c r="E199" t="s">
        <v>142</v>
      </c>
    </row>
    <row r="200" spans="1:5" x14ac:dyDescent="0.3">
      <c r="A200" t="s">
        <v>2880</v>
      </c>
      <c r="B200" t="s">
        <v>2899</v>
      </c>
      <c r="C200" t="s">
        <v>1212</v>
      </c>
      <c r="D200" s="13">
        <v>68.900000000000006</v>
      </c>
      <c r="E200" t="s">
        <v>2874</v>
      </c>
    </row>
    <row r="201" spans="1:5" x14ac:dyDescent="0.3">
      <c r="A201" t="s">
        <v>2892</v>
      </c>
      <c r="B201" t="s">
        <v>2879</v>
      </c>
      <c r="C201" t="s">
        <v>1251</v>
      </c>
      <c r="D201" s="13">
        <v>1135.9100000000001</v>
      </c>
      <c r="E201" t="s">
        <v>2874</v>
      </c>
    </row>
    <row r="202" spans="1:5" x14ac:dyDescent="0.3">
      <c r="A202" t="s">
        <v>2888</v>
      </c>
      <c r="B202" t="s">
        <v>2894</v>
      </c>
      <c r="C202" t="s">
        <v>1208</v>
      </c>
      <c r="D202" s="13">
        <v>162.15</v>
      </c>
      <c r="E202" t="s">
        <v>2876</v>
      </c>
    </row>
    <row r="203" spans="1:5" x14ac:dyDescent="0.3">
      <c r="A203" t="s">
        <v>2875</v>
      </c>
      <c r="B203" t="s">
        <v>2886</v>
      </c>
      <c r="C203" t="s">
        <v>1234</v>
      </c>
      <c r="D203" s="13">
        <v>1378.75</v>
      </c>
      <c r="E203" t="s">
        <v>2876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E6026-AEBC-4160-B473-6DED8437EA5C}">
  <dimension ref="A1:E44"/>
  <sheetViews>
    <sheetView topLeftCell="A24" workbookViewId="0"/>
  </sheetViews>
  <sheetFormatPr defaultRowHeight="14.4" x14ac:dyDescent="0.3"/>
  <cols>
    <col min="1" max="1" width="37" customWidth="1"/>
    <col min="2" max="5" width="18.5546875" style="15" customWidth="1"/>
  </cols>
  <sheetData>
    <row r="1" spans="1:5" ht="21" x14ac:dyDescent="0.4">
      <c r="A1" s="19" t="s">
        <v>2905</v>
      </c>
    </row>
    <row r="2" spans="1:5" ht="18" x14ac:dyDescent="0.35">
      <c r="A2" s="4" t="s">
        <v>2906</v>
      </c>
    </row>
    <row r="3" spans="1:5" x14ac:dyDescent="0.3">
      <c r="A3" t="s">
        <v>2907</v>
      </c>
    </row>
    <row r="5" spans="1:5" x14ac:dyDescent="0.3">
      <c r="A5" s="6" t="s">
        <v>2908</v>
      </c>
      <c r="B5" s="14" t="s">
        <v>2863</v>
      </c>
      <c r="C5" s="14" t="s">
        <v>2865</v>
      </c>
      <c r="D5" s="14" t="s">
        <v>2866</v>
      </c>
      <c r="E5" s="14" t="s">
        <v>2867</v>
      </c>
    </row>
    <row r="7" spans="1:5" x14ac:dyDescent="0.3">
      <c r="A7" s="20" t="s">
        <v>2909</v>
      </c>
    </row>
    <row r="8" spans="1:5" x14ac:dyDescent="0.3">
      <c r="A8" t="s">
        <v>2910</v>
      </c>
      <c r="B8" s="15">
        <v>18500000</v>
      </c>
      <c r="C8" s="15">
        <v>19200000</v>
      </c>
      <c r="D8" s="15">
        <v>21500000</v>
      </c>
      <c r="E8" s="15">
        <v>22800000</v>
      </c>
    </row>
    <row r="9" spans="1:5" x14ac:dyDescent="0.3">
      <c r="A9" t="s">
        <v>2911</v>
      </c>
      <c r="B9" s="15">
        <v>3200000</v>
      </c>
      <c r="C9" s="15">
        <v>3450000</v>
      </c>
      <c r="D9" s="15">
        <v>3680000</v>
      </c>
      <c r="E9" s="15">
        <v>3920000</v>
      </c>
    </row>
    <row r="10" spans="1:5" x14ac:dyDescent="0.3">
      <c r="A10" t="s">
        <v>2912</v>
      </c>
      <c r="B10" s="15">
        <v>450000</v>
      </c>
      <c r="C10" s="15">
        <v>520000</v>
      </c>
      <c r="D10" s="15">
        <v>480000</v>
      </c>
      <c r="E10" s="15">
        <v>510000</v>
      </c>
    </row>
    <row r="11" spans="1:5" x14ac:dyDescent="0.3">
      <c r="A11" s="3" t="s">
        <v>2913</v>
      </c>
      <c r="B11" s="15">
        <f>SUM(B8:B10)</f>
        <v>22150000</v>
      </c>
      <c r="C11" s="15">
        <f>SUM(C8:C10)</f>
        <v>23170000</v>
      </c>
      <c r="D11" s="15">
        <f>SUM(D8:D10)</f>
        <v>25660000</v>
      </c>
      <c r="E11" s="15">
        <f>SUM(E8:E10)</f>
        <v>27230000</v>
      </c>
    </row>
    <row r="13" spans="1:5" x14ac:dyDescent="0.3">
      <c r="A13" s="20" t="s">
        <v>2914</v>
      </c>
    </row>
    <row r="14" spans="1:5" x14ac:dyDescent="0.3">
      <c r="A14" t="s">
        <v>2915</v>
      </c>
      <c r="B14" s="15">
        <v>8500000</v>
      </c>
      <c r="C14" s="15">
        <v>8900000</v>
      </c>
      <c r="D14" s="15">
        <v>9800000</v>
      </c>
      <c r="E14" s="15">
        <v>10200000</v>
      </c>
    </row>
    <row r="15" spans="1:5" x14ac:dyDescent="0.3">
      <c r="A15" t="s">
        <v>2916</v>
      </c>
      <c r="B15" s="15">
        <v>2800000</v>
      </c>
      <c r="C15" s="15">
        <v>2950000</v>
      </c>
      <c r="D15" s="15">
        <v>3200000</v>
      </c>
      <c r="E15" s="15">
        <v>3400000</v>
      </c>
    </row>
    <row r="16" spans="1:5" x14ac:dyDescent="0.3">
      <c r="A16" t="s">
        <v>2917</v>
      </c>
      <c r="B16" s="15">
        <v>1650000</v>
      </c>
      <c r="C16" s="15">
        <v>1720000</v>
      </c>
      <c r="D16" s="15">
        <v>1890000</v>
      </c>
      <c r="E16" s="15">
        <v>1980000</v>
      </c>
    </row>
    <row r="17" spans="1:5" x14ac:dyDescent="0.3">
      <c r="A17" s="3" t="s">
        <v>2918</v>
      </c>
      <c r="B17" s="15">
        <f>SUM(B14:B16)</f>
        <v>12950000</v>
      </c>
      <c r="C17" s="15">
        <f>SUM(C14:C16)</f>
        <v>13570000</v>
      </c>
      <c r="D17" s="15">
        <f>SUM(D14:D16)</f>
        <v>14890000</v>
      </c>
      <c r="E17" s="15">
        <f>SUM(E14:E16)</f>
        <v>15580000</v>
      </c>
    </row>
    <row r="19" spans="1:5" x14ac:dyDescent="0.3">
      <c r="A19" s="3" t="s">
        <v>2919</v>
      </c>
      <c r="B19" s="15">
        <f>B11-B17</f>
        <v>9200000</v>
      </c>
      <c r="C19" s="15">
        <f>C11-C17</f>
        <v>9600000</v>
      </c>
      <c r="D19" s="15">
        <f>D11-D17</f>
        <v>10770000</v>
      </c>
      <c r="E19" s="15">
        <f>E11-E17</f>
        <v>11650000</v>
      </c>
    </row>
    <row r="21" spans="1:5" x14ac:dyDescent="0.3">
      <c r="A21" s="20" t="s">
        <v>2920</v>
      </c>
    </row>
    <row r="22" spans="1:5" x14ac:dyDescent="0.3">
      <c r="A22" t="s">
        <v>2921</v>
      </c>
      <c r="B22" s="15">
        <v>2100000</v>
      </c>
      <c r="C22" s="15">
        <v>2150000</v>
      </c>
      <c r="D22" s="15">
        <v>2200000</v>
      </c>
      <c r="E22" s="15">
        <v>2250000</v>
      </c>
    </row>
    <row r="23" spans="1:5" x14ac:dyDescent="0.3">
      <c r="A23" t="s">
        <v>2922</v>
      </c>
      <c r="B23" s="15">
        <v>680000</v>
      </c>
      <c r="C23" s="15">
        <v>695000</v>
      </c>
      <c r="D23" s="15">
        <v>710000</v>
      </c>
      <c r="E23" s="15">
        <v>725000</v>
      </c>
    </row>
    <row r="24" spans="1:5" x14ac:dyDescent="0.3">
      <c r="A24" t="s">
        <v>2923</v>
      </c>
      <c r="B24" s="15">
        <v>450000</v>
      </c>
      <c r="C24" s="15">
        <v>520000</v>
      </c>
      <c r="D24" s="15">
        <v>780000</v>
      </c>
      <c r="E24" s="15">
        <v>620000</v>
      </c>
    </row>
    <row r="25" spans="1:5" x14ac:dyDescent="0.3">
      <c r="A25" t="s">
        <v>2924</v>
      </c>
      <c r="B25" s="15">
        <v>185000</v>
      </c>
      <c r="C25" s="15">
        <v>210000</v>
      </c>
      <c r="D25" s="15">
        <v>245000</v>
      </c>
      <c r="E25" s="15">
        <v>275000</v>
      </c>
    </row>
    <row r="26" spans="1:5" x14ac:dyDescent="0.3">
      <c r="A26" t="s">
        <v>2925</v>
      </c>
      <c r="B26" s="15">
        <v>320000</v>
      </c>
      <c r="C26" s="15">
        <v>340000</v>
      </c>
      <c r="D26" s="15">
        <v>380000</v>
      </c>
      <c r="E26" s="15">
        <v>410000</v>
      </c>
    </row>
    <row r="27" spans="1:5" x14ac:dyDescent="0.3">
      <c r="A27" t="s">
        <v>2926</v>
      </c>
      <c r="B27" s="15">
        <v>125000</v>
      </c>
      <c r="C27" s="15">
        <v>125000</v>
      </c>
      <c r="D27" s="15">
        <v>125000</v>
      </c>
      <c r="E27" s="15">
        <v>125000</v>
      </c>
    </row>
    <row r="28" spans="1:5" x14ac:dyDescent="0.3">
      <c r="A28" t="s">
        <v>2927</v>
      </c>
      <c r="B28" s="15">
        <v>280000</v>
      </c>
      <c r="C28" s="15">
        <v>280000</v>
      </c>
      <c r="D28" s="15">
        <v>280000</v>
      </c>
      <c r="E28" s="15">
        <v>280000</v>
      </c>
    </row>
    <row r="29" spans="1:5" x14ac:dyDescent="0.3">
      <c r="A29" t="s">
        <v>2928</v>
      </c>
      <c r="B29" s="15">
        <v>195000</v>
      </c>
      <c r="C29" s="15">
        <v>210000</v>
      </c>
      <c r="D29" s="15">
        <v>235000</v>
      </c>
      <c r="E29" s="15">
        <v>250000</v>
      </c>
    </row>
    <row r="30" spans="1:5" x14ac:dyDescent="0.3">
      <c r="A30" t="s">
        <v>2902</v>
      </c>
      <c r="B30" s="15">
        <v>45000</v>
      </c>
      <c r="C30" s="15">
        <v>52000</v>
      </c>
      <c r="D30" s="15">
        <v>48000</v>
      </c>
      <c r="E30" s="15">
        <v>55000</v>
      </c>
    </row>
    <row r="31" spans="1:5" x14ac:dyDescent="0.3">
      <c r="A31" t="s">
        <v>2881</v>
      </c>
      <c r="B31" s="15">
        <v>85000</v>
      </c>
      <c r="C31" s="15">
        <v>92000</v>
      </c>
      <c r="D31" s="15">
        <v>105000</v>
      </c>
      <c r="E31" s="15">
        <v>118000</v>
      </c>
    </row>
    <row r="32" spans="1:5" x14ac:dyDescent="0.3">
      <c r="A32" s="3" t="s">
        <v>2929</v>
      </c>
      <c r="B32" s="15">
        <f>SUM(B22:B31)</f>
        <v>4465000</v>
      </c>
      <c r="C32" s="15">
        <f>SUM(C22:C31)</f>
        <v>4674000</v>
      </c>
      <c r="D32" s="15">
        <f>SUM(D22:D31)</f>
        <v>5108000</v>
      </c>
      <c r="E32" s="15">
        <f>SUM(E22:E31)</f>
        <v>5108000</v>
      </c>
    </row>
    <row r="34" spans="1:5" x14ac:dyDescent="0.3">
      <c r="A34" s="3" t="s">
        <v>2930</v>
      </c>
      <c r="B34" s="15">
        <f>B19-B32</f>
        <v>4735000</v>
      </c>
      <c r="C34" s="15">
        <f>C19-C32</f>
        <v>4926000</v>
      </c>
      <c r="D34" s="15">
        <f>D19-D32</f>
        <v>5662000</v>
      </c>
      <c r="E34" s="15">
        <f>E19-E32</f>
        <v>6542000</v>
      </c>
    </row>
    <row r="36" spans="1:5" x14ac:dyDescent="0.3">
      <c r="A36" s="20" t="s">
        <v>2931</v>
      </c>
    </row>
    <row r="37" spans="1:5" x14ac:dyDescent="0.3">
      <c r="A37" t="s">
        <v>2932</v>
      </c>
      <c r="B37" s="15">
        <v>45000</v>
      </c>
      <c r="C37" s="15">
        <v>48000</v>
      </c>
      <c r="D37" s="15">
        <v>52000</v>
      </c>
      <c r="E37" s="15">
        <v>55000</v>
      </c>
    </row>
    <row r="38" spans="1:5" x14ac:dyDescent="0.3">
      <c r="A38" t="s">
        <v>2933</v>
      </c>
      <c r="B38" s="15">
        <v>-185000</v>
      </c>
      <c r="C38" s="15">
        <v>-180000</v>
      </c>
      <c r="D38" s="15">
        <v>-175000</v>
      </c>
      <c r="E38" s="15">
        <v>-170000</v>
      </c>
    </row>
    <row r="39" spans="1:5" x14ac:dyDescent="0.3">
      <c r="A39" t="s">
        <v>2934</v>
      </c>
      <c r="B39" s="15">
        <v>25000</v>
      </c>
      <c r="C39" s="15">
        <v>-35000</v>
      </c>
      <c r="D39" s="15">
        <v>42000</v>
      </c>
      <c r="E39" s="15">
        <v>-28000</v>
      </c>
    </row>
    <row r="40" spans="1:5" x14ac:dyDescent="0.3">
      <c r="A40" s="3" t="s">
        <v>2935</v>
      </c>
      <c r="B40" s="15">
        <f>SUM(B37:B39)</f>
        <v>-115000</v>
      </c>
      <c r="C40" s="15">
        <f>SUM(C37:C39)</f>
        <v>-167000</v>
      </c>
      <c r="D40" s="15">
        <f>SUM(D37:D39)</f>
        <v>-81000</v>
      </c>
      <c r="E40" s="15">
        <f>SUM(E37:E39)</f>
        <v>-143000</v>
      </c>
    </row>
    <row r="42" spans="1:5" x14ac:dyDescent="0.3">
      <c r="A42" s="3" t="s">
        <v>2936</v>
      </c>
      <c r="B42" s="15">
        <f>B34+B40</f>
        <v>4620000</v>
      </c>
      <c r="C42" s="15">
        <f>C34+C40</f>
        <v>4759000</v>
      </c>
      <c r="D42" s="15">
        <f>D34+D40</f>
        <v>5581000</v>
      </c>
      <c r="E42" s="15">
        <f>E34+E40</f>
        <v>6399000</v>
      </c>
    </row>
    <row r="43" spans="1:5" x14ac:dyDescent="0.3">
      <c r="A43" t="s">
        <v>2937</v>
      </c>
      <c r="B43" s="15">
        <f>-B42*0.22</f>
        <v>-1016400</v>
      </c>
      <c r="C43" s="15">
        <f>-C42*0.22</f>
        <v>-1046980</v>
      </c>
      <c r="D43" s="15">
        <f>-D42*0.22</f>
        <v>-1227820</v>
      </c>
      <c r="E43" s="15">
        <f>-E42*0.22</f>
        <v>-1407780</v>
      </c>
    </row>
    <row r="44" spans="1:5" x14ac:dyDescent="0.3">
      <c r="A44" s="3" t="s">
        <v>2938</v>
      </c>
      <c r="B44" s="15">
        <f>B42+B43</f>
        <v>3603600</v>
      </c>
      <c r="C44" s="15">
        <f>C42+C43</f>
        <v>3712020</v>
      </c>
      <c r="D44" s="15">
        <f>D42+D43</f>
        <v>4353180</v>
      </c>
      <c r="E44" s="15">
        <f>E42+E43</f>
        <v>4991220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C845F-4C6F-4366-BEBC-51C434B55C3F}">
  <dimension ref="A1:A42"/>
  <sheetViews>
    <sheetView topLeftCell="A21" workbookViewId="0"/>
  </sheetViews>
  <sheetFormatPr defaultRowHeight="14.4" x14ac:dyDescent="0.3"/>
  <cols>
    <col min="1" max="1" width="129.6640625" customWidth="1"/>
  </cols>
  <sheetData>
    <row r="1" spans="1:1" ht="21" x14ac:dyDescent="0.4">
      <c r="A1" s="21" t="s">
        <v>2940</v>
      </c>
    </row>
    <row r="3" spans="1:1" x14ac:dyDescent="0.3">
      <c r="A3" s="22" t="s">
        <v>2941</v>
      </c>
    </row>
    <row r="4" spans="1:1" x14ac:dyDescent="0.3">
      <c r="A4" t="s">
        <v>2998</v>
      </c>
    </row>
    <row r="6" spans="1:1" x14ac:dyDescent="0.3">
      <c r="A6" s="22" t="s">
        <v>2944</v>
      </c>
    </row>
    <row r="7" spans="1:1" x14ac:dyDescent="0.3">
      <c r="A7" t="s">
        <v>2999</v>
      </c>
    </row>
    <row r="9" spans="1:1" x14ac:dyDescent="0.3">
      <c r="A9" s="22" t="s">
        <v>2947</v>
      </c>
    </row>
    <row r="10" spans="1:1" x14ac:dyDescent="0.3">
      <c r="A10" t="s">
        <v>3000</v>
      </c>
    </row>
    <row r="11" spans="1:1" x14ac:dyDescent="0.3">
      <c r="A11" t="s">
        <v>3001</v>
      </c>
    </row>
    <row r="12" spans="1:1" x14ac:dyDescent="0.3">
      <c r="A12" t="s">
        <v>3002</v>
      </c>
    </row>
    <row r="13" spans="1:1" x14ac:dyDescent="0.3">
      <c r="A13" t="s">
        <v>3003</v>
      </c>
    </row>
    <row r="14" spans="1:1" x14ac:dyDescent="0.3">
      <c r="A14" t="s">
        <v>3004</v>
      </c>
    </row>
    <row r="16" spans="1:1" x14ac:dyDescent="0.3">
      <c r="A16" s="22" t="s">
        <v>2953</v>
      </c>
    </row>
    <row r="18" spans="1:1" x14ac:dyDescent="0.3">
      <c r="A18" s="22" t="s">
        <v>3005</v>
      </c>
    </row>
    <row r="19" spans="1:1" x14ac:dyDescent="0.3">
      <c r="A19" t="s">
        <v>3006</v>
      </c>
    </row>
    <row r="20" spans="1:1" x14ac:dyDescent="0.3">
      <c r="A20" t="s">
        <v>3007</v>
      </c>
    </row>
    <row r="21" spans="1:1" x14ac:dyDescent="0.3">
      <c r="A21" t="s">
        <v>3008</v>
      </c>
    </row>
    <row r="23" spans="1:1" x14ac:dyDescent="0.3">
      <c r="A23" s="22" t="s">
        <v>2976</v>
      </c>
    </row>
    <row r="24" spans="1:1" x14ac:dyDescent="0.3">
      <c r="A24" t="s">
        <v>3009</v>
      </c>
    </row>
    <row r="25" spans="1:1" x14ac:dyDescent="0.3">
      <c r="A25" t="s">
        <v>3010</v>
      </c>
    </row>
    <row r="27" spans="1:1" x14ac:dyDescent="0.3">
      <c r="A27" s="22" t="s">
        <v>2987</v>
      </c>
    </row>
    <row r="28" spans="1:1" x14ac:dyDescent="0.3">
      <c r="A28" t="s">
        <v>3011</v>
      </c>
    </row>
    <row r="30" spans="1:1" x14ac:dyDescent="0.3">
      <c r="A30" s="22" t="s">
        <v>2996</v>
      </c>
    </row>
    <row r="31" spans="1:1" x14ac:dyDescent="0.3">
      <c r="A31" t="s">
        <v>3012</v>
      </c>
    </row>
    <row r="33" spans="1:1" x14ac:dyDescent="0.3">
      <c r="A33" s="22" t="s">
        <v>3013</v>
      </c>
    </row>
    <row r="34" spans="1:1" x14ac:dyDescent="0.3">
      <c r="A34" t="s">
        <v>3014</v>
      </c>
    </row>
    <row r="35" spans="1:1" x14ac:dyDescent="0.3">
      <c r="A35" t="s">
        <v>2974</v>
      </c>
    </row>
    <row r="36" spans="1:1" x14ac:dyDescent="0.3">
      <c r="A36" t="s">
        <v>3015</v>
      </c>
    </row>
    <row r="37" spans="1:1" x14ac:dyDescent="0.3">
      <c r="A37" t="s">
        <v>3016</v>
      </c>
    </row>
    <row r="39" spans="1:1" x14ac:dyDescent="0.3">
      <c r="A39" s="22" t="s">
        <v>3017</v>
      </c>
    </row>
    <row r="40" spans="1:1" x14ac:dyDescent="0.3">
      <c r="A40" t="s">
        <v>3018</v>
      </c>
    </row>
    <row r="41" spans="1:1" x14ac:dyDescent="0.3">
      <c r="A41" t="s">
        <v>3019</v>
      </c>
    </row>
    <row r="42" spans="1:1" x14ac:dyDescent="0.3">
      <c r="A42" t="s">
        <v>3020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B156C-B814-4042-9A24-059FB94B429D}">
  <dimension ref="A1:A40"/>
  <sheetViews>
    <sheetView topLeftCell="A12" workbookViewId="0"/>
  </sheetViews>
  <sheetFormatPr defaultRowHeight="14.4" x14ac:dyDescent="0.3"/>
  <cols>
    <col min="1" max="1" width="129.6640625" customWidth="1"/>
  </cols>
  <sheetData>
    <row r="1" spans="1:1" ht="21" x14ac:dyDescent="0.4">
      <c r="A1" s="21" t="s">
        <v>3021</v>
      </c>
    </row>
    <row r="3" spans="1:1" x14ac:dyDescent="0.3">
      <c r="A3" s="22" t="s">
        <v>2941</v>
      </c>
    </row>
    <row r="4" spans="1:1" x14ac:dyDescent="0.3">
      <c r="A4" t="s">
        <v>3022</v>
      </c>
    </row>
    <row r="6" spans="1:1" x14ac:dyDescent="0.3">
      <c r="A6" s="22" t="s">
        <v>2944</v>
      </c>
    </row>
    <row r="7" spans="1:1" x14ac:dyDescent="0.3">
      <c r="A7" t="s">
        <v>3023</v>
      </c>
    </row>
    <row r="9" spans="1:1" x14ac:dyDescent="0.3">
      <c r="A9" s="22" t="s">
        <v>3024</v>
      </c>
    </row>
    <row r="10" spans="1:1" x14ac:dyDescent="0.3">
      <c r="A10" t="s">
        <v>3025</v>
      </c>
    </row>
    <row r="12" spans="1:1" x14ac:dyDescent="0.3">
      <c r="A12" s="22" t="s">
        <v>3026</v>
      </c>
    </row>
    <row r="13" spans="1:1" x14ac:dyDescent="0.3">
      <c r="A13" t="s">
        <v>3027</v>
      </c>
    </row>
    <row r="14" spans="1:1" x14ac:dyDescent="0.3">
      <c r="A14" t="s">
        <v>3028</v>
      </c>
    </row>
    <row r="16" spans="1:1" x14ac:dyDescent="0.3">
      <c r="A16" t="s">
        <v>3029</v>
      </c>
    </row>
    <row r="17" spans="1:1" x14ac:dyDescent="0.3">
      <c r="A17" t="s">
        <v>3030</v>
      </c>
    </row>
    <row r="19" spans="1:1" x14ac:dyDescent="0.3">
      <c r="A19" t="s">
        <v>3031</v>
      </c>
    </row>
    <row r="20" spans="1:1" x14ac:dyDescent="0.3">
      <c r="A20" t="s">
        <v>3032</v>
      </c>
    </row>
    <row r="21" spans="1:1" x14ac:dyDescent="0.3">
      <c r="A21" t="s">
        <v>3033</v>
      </c>
    </row>
    <row r="23" spans="1:1" x14ac:dyDescent="0.3">
      <c r="A23" s="22" t="s">
        <v>3034</v>
      </c>
    </row>
    <row r="24" spans="1:1" x14ac:dyDescent="0.3">
      <c r="A24" t="s">
        <v>3035</v>
      </c>
    </row>
    <row r="25" spans="1:1" x14ac:dyDescent="0.3">
      <c r="A25" t="s">
        <v>3036</v>
      </c>
    </row>
    <row r="26" spans="1:1" x14ac:dyDescent="0.3">
      <c r="A26" t="s">
        <v>3037</v>
      </c>
    </row>
    <row r="28" spans="1:1" x14ac:dyDescent="0.3">
      <c r="A28" s="22" t="s">
        <v>3013</v>
      </c>
    </row>
    <row r="29" spans="1:1" x14ac:dyDescent="0.3">
      <c r="A29" t="s">
        <v>3038</v>
      </c>
    </row>
    <row r="30" spans="1:1" x14ac:dyDescent="0.3">
      <c r="A30" t="s">
        <v>3039</v>
      </c>
    </row>
    <row r="31" spans="1:1" x14ac:dyDescent="0.3">
      <c r="A31" t="s">
        <v>3040</v>
      </c>
    </row>
    <row r="32" spans="1:1" x14ac:dyDescent="0.3">
      <c r="A32" t="s">
        <v>3041</v>
      </c>
    </row>
    <row r="34" spans="1:1" x14ac:dyDescent="0.3">
      <c r="A34" s="22" t="s">
        <v>3042</v>
      </c>
    </row>
    <row r="35" spans="1:1" x14ac:dyDescent="0.3">
      <c r="A35" t="s">
        <v>3043</v>
      </c>
    </row>
    <row r="37" spans="1:1" x14ac:dyDescent="0.3">
      <c r="A37" s="22" t="s">
        <v>3017</v>
      </c>
    </row>
    <row r="38" spans="1:1" x14ac:dyDescent="0.3">
      <c r="A38" t="s">
        <v>3044</v>
      </c>
    </row>
    <row r="39" spans="1:1" x14ac:dyDescent="0.3">
      <c r="A39" t="s">
        <v>3045</v>
      </c>
    </row>
    <row r="40" spans="1:1" x14ac:dyDescent="0.3">
      <c r="A40" t="s">
        <v>3046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FED30-D57F-42BD-8A6A-DD01D8296F8F}">
  <dimension ref="A1:A47"/>
  <sheetViews>
    <sheetView workbookViewId="0"/>
  </sheetViews>
  <sheetFormatPr defaultRowHeight="14.4" x14ac:dyDescent="0.3"/>
  <cols>
    <col min="1" max="1" width="129.6640625" customWidth="1"/>
  </cols>
  <sheetData>
    <row r="1" spans="1:1" ht="21" x14ac:dyDescent="0.4">
      <c r="A1" s="21" t="s">
        <v>3047</v>
      </c>
    </row>
    <row r="3" spans="1:1" x14ac:dyDescent="0.3">
      <c r="A3" s="22" t="s">
        <v>2941</v>
      </c>
    </row>
    <row r="4" spans="1:1" x14ac:dyDescent="0.3">
      <c r="A4" t="s">
        <v>3048</v>
      </c>
    </row>
    <row r="6" spans="1:1" x14ac:dyDescent="0.3">
      <c r="A6" s="22" t="s">
        <v>2944</v>
      </c>
    </row>
    <row r="7" spans="1:1" x14ac:dyDescent="0.3">
      <c r="A7" t="s">
        <v>3049</v>
      </c>
    </row>
    <row r="9" spans="1:1" x14ac:dyDescent="0.3">
      <c r="A9" s="22" t="s">
        <v>3024</v>
      </c>
    </row>
    <row r="10" spans="1:1" x14ac:dyDescent="0.3">
      <c r="A10" t="s">
        <v>3050</v>
      </c>
    </row>
    <row r="12" spans="1:1" x14ac:dyDescent="0.3">
      <c r="A12" s="22" t="s">
        <v>3026</v>
      </c>
    </row>
    <row r="13" spans="1:1" x14ac:dyDescent="0.3">
      <c r="A13" t="s">
        <v>3051</v>
      </c>
    </row>
    <row r="14" spans="1:1" x14ac:dyDescent="0.3">
      <c r="A14" t="s">
        <v>3052</v>
      </c>
    </row>
    <row r="16" spans="1:1" x14ac:dyDescent="0.3">
      <c r="A16" t="s">
        <v>3053</v>
      </c>
    </row>
    <row r="17" spans="1:1" x14ac:dyDescent="0.3">
      <c r="A17" t="s">
        <v>3054</v>
      </c>
    </row>
    <row r="19" spans="1:1" x14ac:dyDescent="0.3">
      <c r="A19" t="s">
        <v>3055</v>
      </c>
    </row>
    <row r="20" spans="1:1" x14ac:dyDescent="0.3">
      <c r="A20" t="s">
        <v>2965</v>
      </c>
    </row>
    <row r="21" spans="1:1" x14ac:dyDescent="0.3">
      <c r="A21" t="s">
        <v>3056</v>
      </c>
    </row>
    <row r="22" spans="1:1" x14ac:dyDescent="0.3">
      <c r="A22" t="s">
        <v>3057</v>
      </c>
    </row>
    <row r="23" spans="1:1" x14ac:dyDescent="0.3">
      <c r="A23" t="s">
        <v>3058</v>
      </c>
    </row>
    <row r="24" spans="1:1" x14ac:dyDescent="0.3">
      <c r="A24" t="s">
        <v>3059</v>
      </c>
    </row>
    <row r="25" spans="1:1" x14ac:dyDescent="0.3">
      <c r="A25" t="s">
        <v>3060</v>
      </c>
    </row>
    <row r="26" spans="1:1" x14ac:dyDescent="0.3">
      <c r="A26" t="s">
        <v>3061</v>
      </c>
    </row>
    <row r="28" spans="1:1" x14ac:dyDescent="0.3">
      <c r="A28" s="22" t="s">
        <v>3042</v>
      </c>
    </row>
    <row r="29" spans="1:1" x14ac:dyDescent="0.3">
      <c r="A29" t="s">
        <v>3062</v>
      </c>
    </row>
    <row r="31" spans="1:1" x14ac:dyDescent="0.3">
      <c r="A31" s="22" t="s">
        <v>3063</v>
      </c>
    </row>
    <row r="32" spans="1:1" x14ac:dyDescent="0.3">
      <c r="A32" t="s">
        <v>3064</v>
      </c>
    </row>
    <row r="33" spans="1:1" x14ac:dyDescent="0.3">
      <c r="A33" t="s">
        <v>3065</v>
      </c>
    </row>
    <row r="34" spans="1:1" x14ac:dyDescent="0.3">
      <c r="A34" t="s">
        <v>3066</v>
      </c>
    </row>
    <row r="35" spans="1:1" x14ac:dyDescent="0.3">
      <c r="A35" t="s">
        <v>3067</v>
      </c>
    </row>
    <row r="37" spans="1:1" x14ac:dyDescent="0.3">
      <c r="A37" s="22" t="s">
        <v>3068</v>
      </c>
    </row>
    <row r="38" spans="1:1" x14ac:dyDescent="0.3">
      <c r="A38" t="s">
        <v>3069</v>
      </c>
    </row>
    <row r="39" spans="1:1" x14ac:dyDescent="0.3">
      <c r="A39" t="s">
        <v>3070</v>
      </c>
    </row>
    <row r="40" spans="1:1" x14ac:dyDescent="0.3">
      <c r="A40" t="s">
        <v>3071</v>
      </c>
    </row>
    <row r="41" spans="1:1" x14ac:dyDescent="0.3">
      <c r="A41" t="s">
        <v>3072</v>
      </c>
    </row>
    <row r="43" spans="1:1" x14ac:dyDescent="0.3">
      <c r="A43" s="22" t="s">
        <v>3017</v>
      </c>
    </row>
    <row r="44" spans="1:1" x14ac:dyDescent="0.3">
      <c r="A44" t="s">
        <v>3073</v>
      </c>
    </row>
    <row r="45" spans="1:1" x14ac:dyDescent="0.3">
      <c r="A45" t="s">
        <v>3074</v>
      </c>
    </row>
    <row r="46" spans="1:1" x14ac:dyDescent="0.3">
      <c r="A46" t="s">
        <v>3075</v>
      </c>
    </row>
    <row r="47" spans="1:1" x14ac:dyDescent="0.3">
      <c r="A47" t="s">
        <v>3076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E59ED-AE2E-4D22-AD87-3F73F714A86D}">
  <dimension ref="A1:A51"/>
  <sheetViews>
    <sheetView workbookViewId="0"/>
  </sheetViews>
  <sheetFormatPr defaultRowHeight="14.4" x14ac:dyDescent="0.3"/>
  <cols>
    <col min="1" max="1" width="129.6640625" customWidth="1"/>
  </cols>
  <sheetData>
    <row r="1" spans="1:1" ht="21" x14ac:dyDescent="0.4">
      <c r="A1" s="21" t="s">
        <v>3077</v>
      </c>
    </row>
    <row r="3" spans="1:1" x14ac:dyDescent="0.3">
      <c r="A3" s="22" t="s">
        <v>2941</v>
      </c>
    </row>
    <row r="4" spans="1:1" x14ac:dyDescent="0.3">
      <c r="A4" t="s">
        <v>3078</v>
      </c>
    </row>
    <row r="6" spans="1:1" x14ac:dyDescent="0.3">
      <c r="A6" s="22" t="s">
        <v>2944</v>
      </c>
    </row>
    <row r="7" spans="1:1" x14ac:dyDescent="0.3">
      <c r="A7" t="s">
        <v>3079</v>
      </c>
    </row>
    <row r="9" spans="1:1" x14ac:dyDescent="0.3">
      <c r="A9" s="22" t="s">
        <v>3080</v>
      </c>
    </row>
    <row r="10" spans="1:1" x14ac:dyDescent="0.3">
      <c r="A10" t="s">
        <v>3081</v>
      </c>
    </row>
    <row r="11" spans="1:1" x14ac:dyDescent="0.3">
      <c r="A11" t="s">
        <v>3082</v>
      </c>
    </row>
    <row r="12" spans="1:1" x14ac:dyDescent="0.3">
      <c r="A12" t="s">
        <v>3083</v>
      </c>
    </row>
    <row r="14" spans="1:1" x14ac:dyDescent="0.3">
      <c r="A14" s="22" t="s">
        <v>3026</v>
      </c>
    </row>
    <row r="15" spans="1:1" x14ac:dyDescent="0.3">
      <c r="A15" t="s">
        <v>3084</v>
      </c>
    </row>
    <row r="16" spans="1:1" x14ac:dyDescent="0.3">
      <c r="A16" t="s">
        <v>3085</v>
      </c>
    </row>
    <row r="18" spans="1:1" x14ac:dyDescent="0.3">
      <c r="A18" t="s">
        <v>3086</v>
      </c>
    </row>
    <row r="19" spans="1:1" x14ac:dyDescent="0.3">
      <c r="A19" t="s">
        <v>3087</v>
      </c>
    </row>
    <row r="21" spans="1:1" x14ac:dyDescent="0.3">
      <c r="A21" t="s">
        <v>3088</v>
      </c>
    </row>
    <row r="22" spans="1:1" x14ac:dyDescent="0.3">
      <c r="A22" t="s">
        <v>2965</v>
      </c>
    </row>
    <row r="23" spans="1:1" x14ac:dyDescent="0.3">
      <c r="A23" t="s">
        <v>3089</v>
      </c>
    </row>
    <row r="24" spans="1:1" x14ac:dyDescent="0.3">
      <c r="A24" t="s">
        <v>3090</v>
      </c>
    </row>
    <row r="25" spans="1:1" x14ac:dyDescent="0.3">
      <c r="A25" t="s">
        <v>3091</v>
      </c>
    </row>
    <row r="26" spans="1:1" x14ac:dyDescent="0.3">
      <c r="A26" t="s">
        <v>3092</v>
      </c>
    </row>
    <row r="27" spans="1:1" x14ac:dyDescent="0.3">
      <c r="A27" t="s">
        <v>3093</v>
      </c>
    </row>
    <row r="28" spans="1:1" x14ac:dyDescent="0.3">
      <c r="A28" t="s">
        <v>3094</v>
      </c>
    </row>
    <row r="29" spans="1:1" x14ac:dyDescent="0.3">
      <c r="A29" t="s">
        <v>3095</v>
      </c>
    </row>
    <row r="31" spans="1:1" x14ac:dyDescent="0.3">
      <c r="A31" s="22" t="s">
        <v>3096</v>
      </c>
    </row>
    <row r="32" spans="1:1" x14ac:dyDescent="0.3">
      <c r="A32" t="s">
        <v>3097</v>
      </c>
    </row>
    <row r="33" spans="1:1" x14ac:dyDescent="0.3">
      <c r="A33" t="s">
        <v>3098</v>
      </c>
    </row>
    <row r="34" spans="1:1" x14ac:dyDescent="0.3">
      <c r="A34" t="s">
        <v>3099</v>
      </c>
    </row>
    <row r="35" spans="1:1" x14ac:dyDescent="0.3">
      <c r="A35" t="s">
        <v>3100</v>
      </c>
    </row>
    <row r="36" spans="1:1" x14ac:dyDescent="0.3">
      <c r="A36" t="s">
        <v>3101</v>
      </c>
    </row>
    <row r="38" spans="1:1" x14ac:dyDescent="0.3">
      <c r="A38" s="22" t="s">
        <v>3042</v>
      </c>
    </row>
    <row r="39" spans="1:1" x14ac:dyDescent="0.3">
      <c r="A39" t="s">
        <v>3102</v>
      </c>
    </row>
    <row r="41" spans="1:1" x14ac:dyDescent="0.3">
      <c r="A41" s="22" t="s">
        <v>3013</v>
      </c>
    </row>
    <row r="42" spans="1:1" x14ac:dyDescent="0.3">
      <c r="A42" t="s">
        <v>3103</v>
      </c>
    </row>
    <row r="43" spans="1:1" x14ac:dyDescent="0.3">
      <c r="A43" t="s">
        <v>3104</v>
      </c>
    </row>
    <row r="44" spans="1:1" x14ac:dyDescent="0.3">
      <c r="A44" t="s">
        <v>3105</v>
      </c>
    </row>
    <row r="45" spans="1:1" x14ac:dyDescent="0.3">
      <c r="A45" t="s">
        <v>3106</v>
      </c>
    </row>
    <row r="47" spans="1:1" x14ac:dyDescent="0.3">
      <c r="A47" s="22" t="s">
        <v>3017</v>
      </c>
    </row>
    <row r="48" spans="1:1" x14ac:dyDescent="0.3">
      <c r="A48" t="s">
        <v>3107</v>
      </c>
    </row>
    <row r="49" spans="1:1" x14ac:dyDescent="0.3">
      <c r="A49" t="s">
        <v>3108</v>
      </c>
    </row>
    <row r="50" spans="1:1" x14ac:dyDescent="0.3">
      <c r="A50" t="s">
        <v>3109</v>
      </c>
    </row>
    <row r="51" spans="1:1" x14ac:dyDescent="0.3">
      <c r="A51" t="s">
        <v>3110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45E47-D515-4F05-B560-591BDBEC996B}">
  <dimension ref="A1:A51"/>
  <sheetViews>
    <sheetView workbookViewId="0"/>
  </sheetViews>
  <sheetFormatPr defaultRowHeight="14.4" x14ac:dyDescent="0.3"/>
  <cols>
    <col min="1" max="1" width="129.6640625" customWidth="1"/>
  </cols>
  <sheetData>
    <row r="1" spans="1:1" ht="21" x14ac:dyDescent="0.4">
      <c r="A1" s="21" t="s">
        <v>3111</v>
      </c>
    </row>
    <row r="3" spans="1:1" x14ac:dyDescent="0.3">
      <c r="A3" s="22" t="s">
        <v>2941</v>
      </c>
    </row>
    <row r="4" spans="1:1" x14ac:dyDescent="0.3">
      <c r="A4" t="s">
        <v>3112</v>
      </c>
    </row>
    <row r="6" spans="1:1" x14ac:dyDescent="0.3">
      <c r="A6" s="22" t="s">
        <v>2944</v>
      </c>
    </row>
    <row r="7" spans="1:1" x14ac:dyDescent="0.3">
      <c r="A7" t="s">
        <v>3113</v>
      </c>
    </row>
    <row r="9" spans="1:1" x14ac:dyDescent="0.3">
      <c r="A9" s="22" t="s">
        <v>3024</v>
      </c>
    </row>
    <row r="10" spans="1:1" x14ac:dyDescent="0.3">
      <c r="A10" t="s">
        <v>3114</v>
      </c>
    </row>
    <row r="12" spans="1:1" x14ac:dyDescent="0.3">
      <c r="A12" s="22" t="s">
        <v>3026</v>
      </c>
    </row>
    <row r="13" spans="1:1" x14ac:dyDescent="0.3">
      <c r="A13" t="s">
        <v>3115</v>
      </c>
    </row>
    <row r="14" spans="1:1" x14ac:dyDescent="0.3">
      <c r="A14" t="s">
        <v>3116</v>
      </c>
    </row>
    <row r="16" spans="1:1" x14ac:dyDescent="0.3">
      <c r="A16" t="s">
        <v>3117</v>
      </c>
    </row>
    <row r="17" spans="1:1" x14ac:dyDescent="0.3">
      <c r="A17" t="s">
        <v>3118</v>
      </c>
    </row>
    <row r="19" spans="1:1" x14ac:dyDescent="0.3">
      <c r="A19" t="s">
        <v>3119</v>
      </c>
    </row>
    <row r="20" spans="1:1" x14ac:dyDescent="0.3">
      <c r="A20" t="s">
        <v>3120</v>
      </c>
    </row>
    <row r="22" spans="1:1" x14ac:dyDescent="0.3">
      <c r="A22" t="s">
        <v>3121</v>
      </c>
    </row>
    <row r="23" spans="1:1" x14ac:dyDescent="0.3">
      <c r="A23" t="s">
        <v>2965</v>
      </c>
    </row>
    <row r="24" spans="1:1" x14ac:dyDescent="0.3">
      <c r="A24" t="s">
        <v>3122</v>
      </c>
    </row>
    <row r="25" spans="1:1" x14ac:dyDescent="0.3">
      <c r="A25" t="s">
        <v>3123</v>
      </c>
    </row>
    <row r="26" spans="1:1" x14ac:dyDescent="0.3">
      <c r="A26" t="s">
        <v>3124</v>
      </c>
    </row>
    <row r="27" spans="1:1" x14ac:dyDescent="0.3">
      <c r="A27" t="s">
        <v>3125</v>
      </c>
    </row>
    <row r="28" spans="1:1" x14ac:dyDescent="0.3">
      <c r="A28" t="s">
        <v>3126</v>
      </c>
    </row>
    <row r="29" spans="1:1" x14ac:dyDescent="0.3">
      <c r="A29" t="s">
        <v>3127</v>
      </c>
    </row>
    <row r="30" spans="1:1" x14ac:dyDescent="0.3">
      <c r="A30" t="s">
        <v>3128</v>
      </c>
    </row>
    <row r="32" spans="1:1" x14ac:dyDescent="0.3">
      <c r="A32" s="22" t="s">
        <v>3042</v>
      </c>
    </row>
    <row r="33" spans="1:1" x14ac:dyDescent="0.3">
      <c r="A33" t="s">
        <v>3129</v>
      </c>
    </row>
    <row r="35" spans="1:1" x14ac:dyDescent="0.3">
      <c r="A35" s="22" t="s">
        <v>3063</v>
      </c>
    </row>
    <row r="36" spans="1:1" x14ac:dyDescent="0.3">
      <c r="A36" t="s">
        <v>3130</v>
      </c>
    </row>
    <row r="37" spans="1:1" x14ac:dyDescent="0.3">
      <c r="A37" t="s">
        <v>3131</v>
      </c>
    </row>
    <row r="38" spans="1:1" x14ac:dyDescent="0.3">
      <c r="A38" t="s">
        <v>3132</v>
      </c>
    </row>
    <row r="39" spans="1:1" x14ac:dyDescent="0.3">
      <c r="A39" t="s">
        <v>3133</v>
      </c>
    </row>
    <row r="41" spans="1:1" x14ac:dyDescent="0.3">
      <c r="A41" s="22" t="s">
        <v>3134</v>
      </c>
    </row>
    <row r="42" spans="1:1" x14ac:dyDescent="0.3">
      <c r="A42" t="s">
        <v>3135</v>
      </c>
    </row>
    <row r="43" spans="1:1" x14ac:dyDescent="0.3">
      <c r="A43" t="s">
        <v>3136</v>
      </c>
    </row>
    <row r="44" spans="1:1" x14ac:dyDescent="0.3">
      <c r="A44" t="s">
        <v>3137</v>
      </c>
    </row>
    <row r="45" spans="1:1" x14ac:dyDescent="0.3">
      <c r="A45" t="s">
        <v>3138</v>
      </c>
    </row>
    <row r="47" spans="1:1" x14ac:dyDescent="0.3">
      <c r="A47" s="22" t="s">
        <v>3017</v>
      </c>
    </row>
    <row r="48" spans="1:1" x14ac:dyDescent="0.3">
      <c r="A48" t="s">
        <v>3139</v>
      </c>
    </row>
    <row r="49" spans="1:1" x14ac:dyDescent="0.3">
      <c r="A49" t="s">
        <v>3140</v>
      </c>
    </row>
    <row r="50" spans="1:1" x14ac:dyDescent="0.3">
      <c r="A50" t="s">
        <v>3141</v>
      </c>
    </row>
    <row r="51" spans="1:1" x14ac:dyDescent="0.3">
      <c r="A51" t="s">
        <v>3142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1B8DC-E2D4-41BA-96B0-6686B43A4409}">
  <dimension ref="A1:A49"/>
  <sheetViews>
    <sheetView workbookViewId="0"/>
  </sheetViews>
  <sheetFormatPr defaultRowHeight="14.4" x14ac:dyDescent="0.3"/>
  <cols>
    <col min="1" max="1" width="129.6640625" customWidth="1"/>
  </cols>
  <sheetData>
    <row r="1" spans="1:1" ht="21" x14ac:dyDescent="0.4">
      <c r="A1" s="21" t="s">
        <v>3143</v>
      </c>
    </row>
    <row r="3" spans="1:1" x14ac:dyDescent="0.3">
      <c r="A3" s="22" t="s">
        <v>2941</v>
      </c>
    </row>
    <row r="4" spans="1:1" x14ac:dyDescent="0.3">
      <c r="A4" t="s">
        <v>3144</v>
      </c>
    </row>
    <row r="6" spans="1:1" x14ac:dyDescent="0.3">
      <c r="A6" s="22" t="s">
        <v>2944</v>
      </c>
    </row>
    <row r="7" spans="1:1" x14ac:dyDescent="0.3">
      <c r="A7" t="s">
        <v>3145</v>
      </c>
    </row>
    <row r="9" spans="1:1" x14ac:dyDescent="0.3">
      <c r="A9" s="22" t="s">
        <v>3024</v>
      </c>
    </row>
    <row r="10" spans="1:1" x14ac:dyDescent="0.3">
      <c r="A10" t="s">
        <v>3146</v>
      </c>
    </row>
    <row r="12" spans="1:1" x14ac:dyDescent="0.3">
      <c r="A12" s="22" t="s">
        <v>3026</v>
      </c>
    </row>
    <row r="13" spans="1:1" x14ac:dyDescent="0.3">
      <c r="A13" t="s">
        <v>3147</v>
      </c>
    </row>
    <row r="14" spans="1:1" x14ac:dyDescent="0.3">
      <c r="A14" t="s">
        <v>3148</v>
      </c>
    </row>
    <row r="16" spans="1:1" x14ac:dyDescent="0.3">
      <c r="A16" t="s">
        <v>3149</v>
      </c>
    </row>
    <row r="17" spans="1:1" x14ac:dyDescent="0.3">
      <c r="A17" t="s">
        <v>3150</v>
      </c>
    </row>
    <row r="19" spans="1:1" x14ac:dyDescent="0.3">
      <c r="A19" t="s">
        <v>3151</v>
      </c>
    </row>
    <row r="20" spans="1:1" x14ac:dyDescent="0.3">
      <c r="A20" t="s">
        <v>3152</v>
      </c>
    </row>
    <row r="22" spans="1:1" x14ac:dyDescent="0.3">
      <c r="A22" t="s">
        <v>3153</v>
      </c>
    </row>
    <row r="23" spans="1:1" x14ac:dyDescent="0.3">
      <c r="A23" t="s">
        <v>2965</v>
      </c>
    </row>
    <row r="24" spans="1:1" x14ac:dyDescent="0.3">
      <c r="A24" t="s">
        <v>3154</v>
      </c>
    </row>
    <row r="25" spans="1:1" x14ac:dyDescent="0.3">
      <c r="A25" t="s">
        <v>3155</v>
      </c>
    </row>
    <row r="26" spans="1:1" x14ac:dyDescent="0.3">
      <c r="A26" t="s">
        <v>3156</v>
      </c>
    </row>
    <row r="27" spans="1:1" x14ac:dyDescent="0.3">
      <c r="A27" t="s">
        <v>3157</v>
      </c>
    </row>
    <row r="28" spans="1:1" x14ac:dyDescent="0.3">
      <c r="A28" t="s">
        <v>3158</v>
      </c>
    </row>
    <row r="29" spans="1:1" x14ac:dyDescent="0.3">
      <c r="A29" t="s">
        <v>3159</v>
      </c>
    </row>
    <row r="30" spans="1:1" x14ac:dyDescent="0.3">
      <c r="A30" t="s">
        <v>3160</v>
      </c>
    </row>
    <row r="31" spans="1:1" x14ac:dyDescent="0.3">
      <c r="A31" t="s">
        <v>3161</v>
      </c>
    </row>
    <row r="33" spans="1:1" x14ac:dyDescent="0.3">
      <c r="A33" s="22" t="s">
        <v>3162</v>
      </c>
    </row>
    <row r="34" spans="1:1" x14ac:dyDescent="0.3">
      <c r="A34" t="s">
        <v>3163</v>
      </c>
    </row>
    <row r="35" spans="1:1" x14ac:dyDescent="0.3">
      <c r="A35" t="s">
        <v>3164</v>
      </c>
    </row>
    <row r="36" spans="1:1" x14ac:dyDescent="0.3">
      <c r="A36" t="s">
        <v>3165</v>
      </c>
    </row>
    <row r="37" spans="1:1" x14ac:dyDescent="0.3">
      <c r="A37" t="s">
        <v>3166</v>
      </c>
    </row>
    <row r="38" spans="1:1" x14ac:dyDescent="0.3">
      <c r="A38" t="s">
        <v>3167</v>
      </c>
    </row>
    <row r="39" spans="1:1" x14ac:dyDescent="0.3">
      <c r="A39" t="s">
        <v>3168</v>
      </c>
    </row>
    <row r="40" spans="1:1" x14ac:dyDescent="0.3">
      <c r="A40" t="s">
        <v>3169</v>
      </c>
    </row>
    <row r="42" spans="1:1" x14ac:dyDescent="0.3">
      <c r="A42" s="22" t="s">
        <v>3042</v>
      </c>
    </row>
    <row r="43" spans="1:1" x14ac:dyDescent="0.3">
      <c r="A43" t="s">
        <v>3170</v>
      </c>
    </row>
    <row r="45" spans="1:1" x14ac:dyDescent="0.3">
      <c r="A45" s="22" t="s">
        <v>3013</v>
      </c>
    </row>
    <row r="46" spans="1:1" x14ac:dyDescent="0.3">
      <c r="A46" t="s">
        <v>3171</v>
      </c>
    </row>
    <row r="47" spans="1:1" x14ac:dyDescent="0.3">
      <c r="A47" t="s">
        <v>3172</v>
      </c>
    </row>
    <row r="48" spans="1:1" x14ac:dyDescent="0.3">
      <c r="A48" t="s">
        <v>3173</v>
      </c>
    </row>
    <row r="49" spans="1:1" x14ac:dyDescent="0.3">
      <c r="A49" t="s">
        <v>3174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CF66F-7432-4405-B5F2-760C80AD7967}">
  <dimension ref="A1:A55"/>
  <sheetViews>
    <sheetView tabSelected="1" workbookViewId="0"/>
  </sheetViews>
  <sheetFormatPr defaultRowHeight="14.4" x14ac:dyDescent="0.3"/>
  <cols>
    <col min="1" max="1" width="129.6640625" customWidth="1"/>
  </cols>
  <sheetData>
    <row r="1" spans="1:1" ht="21" x14ac:dyDescent="0.4">
      <c r="A1" s="21" t="s">
        <v>3175</v>
      </c>
    </row>
    <row r="3" spans="1:1" x14ac:dyDescent="0.3">
      <c r="A3" s="22" t="s">
        <v>2941</v>
      </c>
    </row>
    <row r="4" spans="1:1" x14ac:dyDescent="0.3">
      <c r="A4" t="s">
        <v>3176</v>
      </c>
    </row>
    <row r="6" spans="1:1" x14ac:dyDescent="0.3">
      <c r="A6" s="22" t="s">
        <v>2944</v>
      </c>
    </row>
    <row r="7" spans="1:1" x14ac:dyDescent="0.3">
      <c r="A7" t="s">
        <v>3177</v>
      </c>
    </row>
    <row r="9" spans="1:1" x14ac:dyDescent="0.3">
      <c r="A9" s="22" t="s">
        <v>3024</v>
      </c>
    </row>
    <row r="10" spans="1:1" x14ac:dyDescent="0.3">
      <c r="A10" t="s">
        <v>3178</v>
      </c>
    </row>
    <row r="12" spans="1:1" x14ac:dyDescent="0.3">
      <c r="A12" s="22" t="s">
        <v>3179</v>
      </c>
    </row>
    <row r="14" spans="1:1" x14ac:dyDescent="0.3">
      <c r="A14" t="s">
        <v>3180</v>
      </c>
    </row>
    <row r="16" spans="1:1" x14ac:dyDescent="0.3">
      <c r="A16" s="22" t="s">
        <v>3181</v>
      </c>
    </row>
    <row r="17" spans="1:1" x14ac:dyDescent="0.3">
      <c r="A17" t="s">
        <v>3182</v>
      </c>
    </row>
    <row r="18" spans="1:1" x14ac:dyDescent="0.3">
      <c r="A18" t="s">
        <v>3183</v>
      </c>
    </row>
    <row r="19" spans="1:1" x14ac:dyDescent="0.3">
      <c r="A19" t="s">
        <v>3184</v>
      </c>
    </row>
    <row r="21" spans="1:1" x14ac:dyDescent="0.3">
      <c r="A21" s="22" t="s">
        <v>3185</v>
      </c>
    </row>
    <row r="22" spans="1:1" x14ac:dyDescent="0.3">
      <c r="A22" t="e" cm="1">
        <f t="array" ref="A22">- Budget performance by department</f>
        <v>#NAME?</v>
      </c>
    </row>
    <row r="23" spans="1:1" x14ac:dyDescent="0.3">
      <c r="A23" t="e" cm="1">
        <f t="array" ref="A23">- Major variances with root cause analysis</f>
        <v>#NAME?</v>
      </c>
    </row>
    <row r="24" spans="1:1" x14ac:dyDescent="0.3">
      <c r="A24" t="e" cm="1">
        <f t="array" ref="A24">- Operational efficiency metrics</f>
        <v>#NAME?</v>
      </c>
    </row>
    <row r="26" spans="1:1" x14ac:dyDescent="0.3">
      <c r="A26" s="22" t="s">
        <v>3186</v>
      </c>
    </row>
    <row r="27" spans="1:1" x14ac:dyDescent="0.3">
      <c r="A27" t="s">
        <v>3187</v>
      </c>
    </row>
    <row r="28" spans="1:1" x14ac:dyDescent="0.3">
      <c r="A28" t="e" cm="1">
        <f t="array" ref="A28">- AR/AP aging analysis</f>
        <v>#NAME?</v>
      </c>
    </row>
    <row r="29" spans="1:1" x14ac:dyDescent="0.3">
      <c r="A29" t="e" cm="1">
        <f t="array" ref="A29">- Working capital trends</f>
        <v>#NAME?</v>
      </c>
    </row>
    <row r="31" spans="1:1" x14ac:dyDescent="0.3">
      <c r="A31" s="22" t="s">
        <v>3188</v>
      </c>
    </row>
    <row r="32" spans="1:1" x14ac:dyDescent="0.3">
      <c r="A32" t="s">
        <v>3189</v>
      </c>
    </row>
    <row r="33" spans="1:1" x14ac:dyDescent="0.3">
      <c r="A33" t="s">
        <v>3190</v>
      </c>
    </row>
    <row r="34" spans="1:1" x14ac:dyDescent="0.3">
      <c r="A34" t="e" cm="1">
        <f t="array" ref="A34">- Mitigation strategies</f>
        <v>#NAME?</v>
      </c>
    </row>
    <row r="36" spans="1:1" x14ac:dyDescent="0.3">
      <c r="A36" s="22" t="s">
        <v>3191</v>
      </c>
    </row>
    <row r="37" spans="1:1" x14ac:dyDescent="0.3">
      <c r="A37" t="e" cm="1">
        <f t="array" ref="A37">- Immediate actions required</f>
        <v>#NAME?</v>
      </c>
    </row>
    <row r="38" spans="1:1" x14ac:dyDescent="0.3">
      <c r="A38" t="e" cm="1">
        <f t="array" ref="A38">- Strategic initiatives proposed</f>
        <v>#NAME?</v>
      </c>
    </row>
    <row r="39" spans="1:1" x14ac:dyDescent="0.3">
      <c r="A39" t="e" cm="1">
        <f t="array" ref="A39">- Resource requirements</f>
        <v>#NAME?</v>
      </c>
    </row>
    <row r="41" spans="1:1" x14ac:dyDescent="0.3">
      <c r="A41" s="22" t="s">
        <v>3192</v>
      </c>
    </row>
    <row r="42" spans="1:1" x14ac:dyDescent="0.3">
      <c r="A42" t="s">
        <v>3193</v>
      </c>
    </row>
    <row r="43" spans="1:1" x14ac:dyDescent="0.3">
      <c r="A43" t="s">
        <v>3194</v>
      </c>
    </row>
    <row r="44" spans="1:1" x14ac:dyDescent="0.3">
      <c r="A44" t="e" cm="1">
        <f t="array" ref="A44">- Key assumptions</f>
        <v>#NAME?</v>
      </c>
    </row>
    <row r="46" spans="1:1" x14ac:dyDescent="0.3">
      <c r="A46" s="22" t="s">
        <v>3195</v>
      </c>
    </row>
    <row r="47" spans="1:1" x14ac:dyDescent="0.3">
      <c r="A47" t="s">
        <v>3196</v>
      </c>
    </row>
    <row r="48" spans="1:1" x14ac:dyDescent="0.3">
      <c r="A48" t="s">
        <v>3197</v>
      </c>
    </row>
    <row r="49" spans="1:1" x14ac:dyDescent="0.3">
      <c r="A49" t="s">
        <v>3198</v>
      </c>
    </row>
    <row r="50" spans="1:1" x14ac:dyDescent="0.3">
      <c r="A50" t="s">
        <v>3199</v>
      </c>
    </row>
    <row r="52" spans="1:1" x14ac:dyDescent="0.3">
      <c r="A52" s="22" t="s">
        <v>3200</v>
      </c>
    </row>
    <row r="53" spans="1:1" x14ac:dyDescent="0.3">
      <c r="A53" t="s">
        <v>3201</v>
      </c>
    </row>
    <row r="54" spans="1:1" x14ac:dyDescent="0.3">
      <c r="A54" t="s">
        <v>3202</v>
      </c>
    </row>
    <row r="55" spans="1:1" x14ac:dyDescent="0.3">
      <c r="A55" t="s">
        <v>3203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Company Profile</vt:lpstr>
      <vt:lpstr>Bank Transactions</vt:lpstr>
      <vt:lpstr>Internal Ledger</vt:lpstr>
      <vt:lpstr>Accounts Payable</vt:lpstr>
      <vt:lpstr>Accounts Receivable</vt:lpstr>
      <vt:lpstr>Budget vs Actual</vt:lpstr>
      <vt:lpstr>Expense Claims</vt:lpstr>
      <vt:lpstr>Monthly P&amp;L</vt:lpstr>
      <vt:lpstr>Case Study 1 - Bank Recon</vt:lpstr>
      <vt:lpstr>Case Study 2 - Invoice Match</vt:lpstr>
      <vt:lpstr>Case Study 3 - Budget Variance</vt:lpstr>
      <vt:lpstr>Case Study 4 - Expense Anomaly</vt:lpstr>
      <vt:lpstr>Case Study 5 - Cash Flow</vt:lpstr>
      <vt:lpstr>Case Study 6 - Month End</vt:lpstr>
      <vt:lpstr>Case Study 7 - CFO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Fakhrul Syahmi</dc:creator>
  <cp:lastModifiedBy>Fakhrul Syahmi</cp:lastModifiedBy>
  <dcterms:created xsi:type="dcterms:W3CDTF">2026-05-19T15:45:46Z</dcterms:created>
  <dcterms:modified xsi:type="dcterms:W3CDTF">2026-05-19T16:11:27Z</dcterms:modified>
</cp:coreProperties>
</file>